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시보드" sheetId="1" r:id="rId4"/>
    <sheet state="visible" name="탐지·분석 로그" sheetId="2" r:id="rId5"/>
    <sheet state="visible" name="룰 고도화 이력" sheetId="3" r:id="rId6"/>
    <sheet state="visible" name="목록(드롭다운)" sheetId="4" r:id="rId7"/>
  </sheets>
  <definedNames>
    <definedName hidden="1" localSheetId="1" name="_xlnm._FilterDatabase">'탐지·분석 로그'!$A$2:$W$2</definedName>
    <definedName hidden="1" localSheetId="2" name="_xlnm._FilterDatabase">'룰 고도화 이력'!$A$2:$N$2</definedName>
  </definedNames>
  <calcPr/>
  <extLst>
    <ext uri="GoogleSheetsCustomDataVersion2">
      <go:sheetsCustomData xmlns:go="http://customooxmlschemas.google.com/" r:id="rId8" roundtripDataChecksum="4gqU4+qYuPxC2rzDdj4PpZ8M4kpwW7xASe/N56f6n3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ID#AAAB8GaH0ew
Unknown Author    (2026-05-29 04:32:04)
관제(WAS/Splunk)에서 이벤트가 기록된 시각</t>
      </text>
    </comment>
    <comment authorId="0" ref="H2">
      <text>
        <t xml:space="preserve">======
ID#AAAB8GaH0e4
Unknown Author    (2026-05-29 04:32:04)
예: /api/v1/reservation, /login, /api/payment</t>
      </text>
    </comment>
    <comment authorId="0" ref="K2">
      <text>
        <t xml:space="preserve">======
ID#AAAB8GaH0eo
Unknown Author    (2026-05-29 04:32:04)
예: waf_log, was_access, splunk:web_idx</t>
      </text>
    </comment>
    <comment authorId="0" ref="F2">
      <text>
        <t xml:space="preserve">======
ID#AAAB8GaH0es
Unknown Author    (2026-05-29 04:32:04)
GeoIP / ASN 정보</t>
      </text>
    </comment>
    <comment authorId="0" ref="W2">
      <text>
        <t xml:space="preserve">======
ID#AAAB8GaH0ek
Unknown Author    (2026-05-29 04:32:04)
추가 메모</t>
      </text>
    </comment>
    <comment authorId="0" ref="M2">
      <text>
        <t xml:space="preserve">======
ID#AAAB8GaH0eU
Unknown Author    (2026-05-29 04:32:04)
Splunk 검색 ID 또는 saved search 이름 (드릴다운용)</t>
      </text>
    </comment>
    <comment authorId="0" ref="G2">
      <text>
        <t xml:space="preserve">======
ID#AAAB8GaH0eY
Unknown Author    (2026-05-29 04:32:04)
Destination 호스트/서비스 (예: book.ticket.co.kr)</t>
      </text>
    </comment>
    <comment authorId="0" ref="J2">
      <text>
        <t xml:space="preserve">======
ID#AAAB8GaH0eA
Unknown Author    (2026-05-29 04:32:04)
어디서 잡혔는가</t>
      </text>
    </comment>
    <comment authorId="0" ref="A2">
      <text>
        <t xml:space="preserve">======
ID#AAAB8GaH0eE
Unknown Author    (2026-05-29 04:32:04)
EVT-0001 형식. 탐지 1건당 고유 ID</t>
      </text>
    </comment>
    <comment authorId="0" ref="T2">
      <text>
        <t xml:space="preserve">======
ID#AAAB8GaH0eI
Unknown Author    (2026-05-29 04:32:04)
RULE-0001 형식 (룰 고도화 이력 시트와 연결)</t>
      </text>
    </comment>
    <comment authorId="0" ref="E2">
      <text>
        <t xml:space="preserve">======
ID#AAAB8GaH0eM
Unknown Author    (2026-05-29 04:32:04)
Source IP (공격자)</t>
      </text>
    </comment>
    <comment authorId="0" ref="D2">
      <text>
        <t xml:space="preserve">======
ID#AAAB8GaH0d8
Unknown Author    (2026-05-29 04:32:04)
OWASP/봇 기준 분류</t>
      </text>
    </comment>
    <comment authorId="0" ref="P2">
      <text>
        <t xml:space="preserve">======
ID#AAAB8GaH0d0
Unknown Author    (2026-05-29 04:32:04)
TP=정탐, FP=오탐, FN=미탐</t>
      </text>
    </comment>
    <comment authorId="0" ref="N2">
      <text>
        <t xml:space="preserve">======
ID#AAAB8GaH0d4
Unknown Author    (2026-05-29 04:32:04)
탐지된 요청 본문/시그니처 매칭 구간 (필요시 일부만)</t>
      </text>
    </comment>
    <comment authorId="0" ref="L2">
      <text>
        <t xml:space="preserve">======
ID#AAAB8GaH0dw
Unknown Author    (2026-05-29 04:32:04)
발화된 룰 ID (예: WAF-941100, ts_brute_login)</t>
      </text>
    </comment>
    <comment authorId="0" ref="C2">
      <text>
        <t xml:space="preserve">======
ID#AAAB8GaH0dc
Unknown Author    (2026-05-29 04:32:04)
실제 패킷 발생 시각 (로그 timestamp)</t>
      </text>
    </comment>
    <comment authorId="0" ref="Q2">
      <text>
        <t xml:space="preserve">======
ID#AAAB8GaH0dg
Unknown Author    (2026-05-29 04:32:04)
왜 정/오/미탐으로 판단했는지 분석 내용</t>
      </text>
    </comment>
    <comment authorId="0" ref="S2">
      <text>
        <t xml:space="preserve">======
ID#AAAB8GaH0dk
Unknown Author    (2026-05-29 04:32:04)
Y면 '룰 고도화 이력' 시트에 기록</t>
      </text>
    </comment>
    <comment authorId="0" ref="R2">
      <text>
        <t xml:space="preserve">======
ID#AAAB8GaH0do
Unknown Author    (2026-05-29 04:32:04)
예: 출발지 IP 차단, 계정 잠금, 무조치(정상)</t>
      </text>
    </comment>
  </commentList>
  <extLst>
    <ext uri="GoogleSheetsCustomDataVersion2">
      <go:sheetsCustomData xmlns:go="http://customooxmlschemas.google.com/" r:id="rId1" roundtripDataSignature="AMtx7mhf7FpH1gZHbJc08Vg7KZi8fL+Gt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======
ID#AAAB8GaH0e0
Unknown Author    (2026-05-29 04:32:04)
예: WAF-941160, ts_login_fail_burst</t>
      </text>
    </comment>
    <comment authorId="0" ref="J2">
      <text>
        <t xml:space="preserve">======
ID#AAAB8GaH0ec
Unknown Author    (2026-05-29 04:32:04)
예: 오탐률 ↓, 매크로 탐지율 ↑</t>
      </text>
    </comment>
    <comment authorId="0" ref="I2">
      <text>
        <t xml:space="preserve">======
ID#AAAB8GaH0eg
Unknown Author    (2026-05-29 04:32:04)
수정된 룰 로직/임계값/정규식</t>
      </text>
    </comment>
    <comment authorId="0" ref="A2">
      <text>
        <t xml:space="preserve">======
ID#AAAB8GaH0eQ
Unknown Author    (2026-05-29 04:32:04)
RULE-0001 형식</t>
      </text>
    </comment>
    <comment authorId="0" ref="H2">
      <text>
        <t xml:space="preserve">======
ID#AAAB8GaH0ds
Unknown Author    (2026-05-29 04:32:04)
기존 룰 로직/임계값/정규식</t>
      </text>
    </comment>
    <comment authorId="0" ref="C2">
      <text>
        <t xml:space="preserve">======
ID#AAAB8GaH0dU
Unknown Author    (2026-05-29 04:32:04)
탐지·분석 로그의 EVT-ID (복수 시 콤마)</t>
      </text>
    </comment>
    <comment authorId="0" ref="K2">
      <text>
        <t xml:space="preserve">======
ID#AAAB8GaH0dY
Unknown Author    (2026-05-29 04:32:04)
테스트/운영 후 실제 오탐·탐지율 변화</t>
      </text>
    </comment>
  </commentList>
  <extLst>
    <ext uri="GoogleSheetsCustomDataVersion2">
      <go:sheetsCustomData xmlns:go="http://customooxmlschemas.google.com/" r:id="rId1" roundtripDataSignature="AMtx7mjqbOC5fDYtrUYVy4KB74XDWxqMAA=="/>
    </ext>
  </extLst>
</comments>
</file>

<file path=xl/sharedStrings.xml><?xml version="1.0" encoding="utf-8"?>
<sst xmlns="http://schemas.openxmlformats.org/spreadsheetml/2006/main" count="334" uniqueCount="228">
  <si>
    <t>보안관제 대시보드 — 탐지/오탐/미탐 &amp; 룰 고도화 현황</t>
  </si>
  <si>
    <t>핵심 지표 (KPI)</t>
  </si>
  <si>
    <t>공격 유형별 탐지 건수</t>
  </si>
  <si>
    <t>총 탐지 건수</t>
  </si>
  <si>
    <t>SQL Injection</t>
  </si>
  <si>
    <t>정탐(TP)</t>
  </si>
  <si>
    <t>XSS(Cross-Site Scripting)</t>
  </si>
  <si>
    <t>오탐(FP)</t>
  </si>
  <si>
    <t>Command Injection</t>
  </si>
  <si>
    <t>미탐(FN)</t>
  </si>
  <si>
    <t>Path Traversal</t>
  </si>
  <si>
    <t>조사중</t>
  </si>
  <si>
    <t>File Upload</t>
  </si>
  <si>
    <t>오탐률 (FP / (TP+FP))</t>
  </si>
  <si>
    <t>인증 우회(Auth Bypass)</t>
  </si>
  <si>
    <t>정탐 정확도 (TP / (TP+FP))</t>
  </si>
  <si>
    <t>무차별 대입(Brute Force)</t>
  </si>
  <si>
    <t>룰 고도화 필요(Y) 건수</t>
  </si>
  <si>
    <t>크리덴셜 스터핑(Credential Stuffing)</t>
  </si>
  <si>
    <t>등록된 룰 변경 건수</t>
  </si>
  <si>
    <t>매크로/봇 티켓팅</t>
  </si>
  <si>
    <t>웹 스크래핑(Scraping)</t>
  </si>
  <si>
    <t>심각도별 분포</t>
  </si>
  <si>
    <t>비정상 예매/매크로 결제</t>
  </si>
  <si>
    <t>Critical</t>
  </si>
  <si>
    <t>쿠폰/포인트 악용</t>
  </si>
  <si>
    <t>High</t>
  </si>
  <si>
    <r>
      <rPr>
        <rFont val="Arial"/>
        <color rgb="FF000000"/>
        <sz val="10.0"/>
      </rPr>
      <t xml:space="preserve">API </t>
    </r>
    <r>
      <rPr>
        <rFont val="Noto Sans CJK SC"/>
        <color rgb="FF000000"/>
        <sz val="10.0"/>
      </rPr>
      <t>남용</t>
    </r>
    <r>
      <rPr>
        <rFont val="Arial"/>
        <color rgb="FF000000"/>
        <sz val="10.0"/>
      </rPr>
      <t>(Rate Abuse)</t>
    </r>
  </si>
  <si>
    <t>Medium</t>
  </si>
  <si>
    <t>DDoS/DoS</t>
  </si>
  <si>
    <t>Low</t>
  </si>
  <si>
    <t>스캐닝/정찰(Recon)</t>
  </si>
  <si>
    <t>Info</t>
  </si>
  <si>
    <t>악성 봇</t>
  </si>
  <si>
    <t>기타</t>
  </si>
  <si>
    <t>작성 워크플로우</t>
  </si>
  <si>
    <t>① 공격 발생 → WAS/WAF/Splunk에서 탐지된 이벤트를 '탐지·분석 로그' 시트에 1건씩 기록</t>
  </si>
  <si>
    <t>② 페이로드·로그소스·Splunk SID를 채워 추적 가능하게 (드릴다운 근거 확보)</t>
  </si>
  <si>
    <t>③ 분석가가 '판정'을 정탐/오탐/미탐으로 결정하고 '판정 근거' 작성</t>
  </si>
  <si>
    <t>④ 오탐/미탐이면 '룰 고도화 필요=Y' → '룰 고도화 이력' 시트에 Before/After 기록</t>
  </si>
  <si>
    <t>⑤ 룰 변경 후 검증 결과(오탐률·탐지율 변화)를 기록하고 대시보드로 추세 확인</t>
  </si>
  <si>
    <t>티켓팅 플랫폼 보안관제 — 탐지 · 오탐/미탐 분석 · 룰 고도화 추적 로그</t>
  </si>
  <si>
    <t>이벤트 ID</t>
  </si>
  <si>
    <t>탐지 일시</t>
  </si>
  <si>
    <t>공격 발생 일시</t>
  </si>
  <si>
    <t>공격 유형</t>
  </si>
  <si>
    <t>출발지 IP</t>
  </si>
  <si>
    <t>출발지 국가/ASN</t>
  </si>
  <si>
    <t>대상 호스트</t>
  </si>
  <si>
    <t>대상 URL/엔드포인트</t>
  </si>
  <si>
    <t>HTTP Method</t>
  </si>
  <si>
    <t>탐지 솔루션</t>
  </si>
  <si>
    <t>로그 소스</t>
  </si>
  <si>
    <t>탐지 룰/시그니처 ID</t>
  </si>
  <si>
    <t>Splunk SID/Saved Search</t>
  </si>
  <si>
    <t>페이로드/탐지 내용</t>
  </si>
  <si>
    <t>심각도</t>
  </si>
  <si>
    <t>판정</t>
  </si>
  <si>
    <t>판정 근거</t>
  </si>
  <si>
    <t>조치 내용</t>
  </si>
  <si>
    <t>룰 고도화 필요</t>
  </si>
  <si>
    <t>연관 룰변경 ID</t>
  </si>
  <si>
    <t>담당자</t>
  </si>
  <si>
    <t>처리 상태</t>
  </si>
  <si>
    <t>비고</t>
  </si>
  <si>
    <t>EVT-0001</t>
  </si>
  <si>
    <t>2026-05-29 14:02:11</t>
  </si>
  <si>
    <t>2026-05-29 14:02:09</t>
  </si>
  <si>
    <t>203.0.113.45</t>
  </si>
  <si>
    <t>KR / AS9318</t>
  </si>
  <si>
    <t>book.ticket.co.kr</t>
  </si>
  <si>
    <t>/api/v1/reservation?seat=</t>
  </si>
  <si>
    <t>GET</t>
  </si>
  <si>
    <t>WAF</t>
  </si>
  <si>
    <t>waf_log</t>
  </si>
  <si>
    <t>WAF-942100</t>
  </si>
  <si>
    <t>srch_1716_web_sqli</t>
  </si>
  <si>
    <t>seat=1 UNION SELECT user,pw FROM members--</t>
  </si>
  <si>
    <r>
      <rPr>
        <rFont val="Arial"/>
        <color rgb="FF000000"/>
        <sz val="10.0"/>
      </rPr>
      <t xml:space="preserve">WAF </t>
    </r>
    <r>
      <rPr>
        <rFont val="Noto Sans CJK SC"/>
        <color rgb="FF000000"/>
        <sz val="10.0"/>
      </rPr>
      <t>룰 패턴과 일치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실제 </t>
    </r>
    <r>
      <rPr>
        <rFont val="Arial"/>
        <color rgb="FF000000"/>
        <sz val="10.0"/>
      </rPr>
      <t xml:space="preserve">UNION </t>
    </r>
    <r>
      <rPr>
        <rFont val="Noto Sans CJK SC"/>
        <color rgb="FF000000"/>
        <sz val="10.0"/>
      </rPr>
      <t xml:space="preserve">기반 </t>
    </r>
    <r>
      <rPr>
        <rFont val="Arial"/>
        <color rgb="FF000000"/>
        <sz val="10.0"/>
      </rPr>
      <t xml:space="preserve">SQLi </t>
    </r>
    <r>
      <rPr>
        <rFont val="Noto Sans CJK SC"/>
        <color rgb="FF000000"/>
        <sz val="10.0"/>
      </rPr>
      <t>시도</t>
    </r>
    <r>
      <rPr>
        <rFont val="Arial"/>
        <color rgb="FF000000"/>
        <sz val="10.0"/>
      </rPr>
      <t xml:space="preserve">. DB </t>
    </r>
    <r>
      <rPr>
        <rFont val="Noto Sans CJK SC"/>
        <color rgb="FF000000"/>
        <sz val="10.0"/>
      </rPr>
      <t>오류 응답 없음</t>
    </r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차단됨</t>
    </r>
    <r>
      <rPr>
        <rFont val="Arial"/>
        <color rgb="FF000000"/>
        <sz val="10.0"/>
      </rPr>
      <t>)</t>
    </r>
  </si>
  <si>
    <t>출발지 IP 차단, 위협 IP 목록 등록</t>
  </si>
  <si>
    <t>N</t>
  </si>
  <si>
    <t>김보안</t>
  </si>
  <si>
    <t>조치완료</t>
  </si>
  <si>
    <t>예매 API 대상 인젝션</t>
  </si>
  <si>
    <t>EVT-0002</t>
  </si>
  <si>
    <t>2026-05-29 19:31:50</t>
  </si>
  <si>
    <t>2026-05-29 19:31:45</t>
  </si>
  <si>
    <t>198.51.100.7</t>
  </si>
  <si>
    <t>US / AS14618</t>
  </si>
  <si>
    <t>auth.ticket.co.kr</t>
  </si>
  <si>
    <t>/login</t>
  </si>
  <si>
    <t>POST</t>
  </si>
  <si>
    <r>
      <rPr>
        <rFont val="Arial"/>
        <color rgb="FF000000"/>
        <sz val="10.0"/>
      </rPr>
      <t xml:space="preserve">Splunk </t>
    </r>
    <r>
      <rPr>
        <rFont val="Noto Sans CJK SC"/>
        <color rgb="FF000000"/>
        <sz val="10.0"/>
      </rPr>
      <t>상관분석</t>
    </r>
  </si>
  <si>
    <t>splunk:auth_idx</t>
  </si>
  <si>
    <t>ts_login_fail_burst</t>
  </si>
  <si>
    <t>srch_1716_cred_stuffing</t>
  </si>
  <si>
    <r>
      <rPr>
        <rFont val="Arial"/>
        <color rgb="FF000000"/>
        <sz val="10.0"/>
      </rPr>
      <t>60</t>
    </r>
    <r>
      <rPr>
        <rFont val="Noto Sans CJK SC"/>
        <color rgb="FF000000"/>
        <sz val="10.0"/>
      </rPr>
      <t xml:space="preserve">초 내 동일 </t>
    </r>
    <r>
      <rPr>
        <rFont val="Arial"/>
        <color rgb="FF000000"/>
        <sz val="10.0"/>
      </rPr>
      <t xml:space="preserve">IP </t>
    </r>
    <r>
      <rPr>
        <rFont val="Noto Sans CJK SC"/>
        <color rgb="FF000000"/>
        <sz val="10.0"/>
      </rPr>
      <t xml:space="preserve">로그인 실패 </t>
    </r>
    <r>
      <rPr>
        <rFont val="Arial"/>
        <color rgb="FF000000"/>
        <sz val="10.0"/>
      </rPr>
      <t>320</t>
    </r>
    <r>
      <rPr>
        <rFont val="Noto Sans CJK SC"/>
        <color rgb="FF000000"/>
        <sz val="10.0"/>
      </rPr>
      <t>건</t>
    </r>
    <r>
      <rPr>
        <rFont val="Arial"/>
        <color rgb="FF000000"/>
        <sz val="10.0"/>
      </rPr>
      <t xml:space="preserve">, UA </t>
    </r>
    <r>
      <rPr>
        <rFont val="Noto Sans CJK SC"/>
        <color rgb="FF000000"/>
        <sz val="10.0"/>
      </rPr>
      <t>동일</t>
    </r>
  </si>
  <si>
    <t>임계치(분당 50회) 초과, 다수 계정 대상 분산 로그인 시도 패턴</t>
  </si>
  <si>
    <r>
      <rPr>
        <rFont val="Arial"/>
        <color rgb="FF000000"/>
        <sz val="10.0"/>
      </rPr>
      <t xml:space="preserve">IP </t>
    </r>
    <r>
      <rPr>
        <rFont val="Noto Sans CJK SC"/>
        <color rgb="FF000000"/>
        <sz val="10.0"/>
      </rPr>
      <t>일시 차단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 xml:space="preserve">해당 계정 </t>
    </r>
    <r>
      <rPr>
        <rFont val="Arial"/>
        <color rgb="FF000000"/>
        <sz val="10.0"/>
      </rPr>
      <t xml:space="preserve">OTP </t>
    </r>
    <r>
      <rPr>
        <rFont val="Noto Sans CJK SC"/>
        <color rgb="FF000000"/>
        <sz val="10.0"/>
      </rPr>
      <t>강제</t>
    </r>
    <r>
      <rPr>
        <rFont val="Arial"/>
        <color rgb="FF000000"/>
        <sz val="10.0"/>
      </rPr>
      <t xml:space="preserve">, Rate limit </t>
    </r>
    <r>
      <rPr>
        <rFont val="Noto Sans CJK SC"/>
        <color rgb="FF000000"/>
        <sz val="10.0"/>
      </rPr>
      <t>강화</t>
    </r>
  </si>
  <si>
    <t>Y</t>
  </si>
  <si>
    <t>RULE-0002</t>
  </si>
  <si>
    <t>이관제</t>
  </si>
  <si>
    <t>룰 반영완료</t>
  </si>
  <si>
    <t>오픈 직후 대량 시도</t>
  </si>
  <si>
    <t>EVT-0003</t>
  </si>
  <si>
    <t>2026-05-30 10:00:03</t>
  </si>
  <si>
    <t>2026-05-30 10:00:00</t>
  </si>
  <si>
    <t>192.0.2.88</t>
  </si>
  <si>
    <t>KR / AS4766</t>
  </si>
  <si>
    <t>/api/v1/seat/hold</t>
  </si>
  <si>
    <t>Anti-Bot</t>
  </si>
  <si>
    <t>was_access</t>
  </si>
  <si>
    <t>bot_seat_hold_rate</t>
  </si>
  <si>
    <t>srch_1717_macro_book</t>
  </si>
  <si>
    <t>티켓 오픈 0.3초 내 좌석선점 요청 47회, 헤더 비정상</t>
  </si>
  <si>
    <t>사람 불가능한 속도/주기성, 동일 디바이스 핑거프린트 반복</t>
  </si>
  <si>
    <r>
      <rPr>
        <rFont val="Arial"/>
        <color rgb="FF000000"/>
        <sz val="10.0"/>
      </rPr>
      <t xml:space="preserve">CAPTCHA </t>
    </r>
    <r>
      <rPr>
        <rFont val="Noto Sans CJK SC"/>
        <color rgb="FF000000"/>
        <sz val="10.0"/>
      </rPr>
      <t>강제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디바이스 차단</t>
    </r>
    <r>
      <rPr>
        <rFont val="Arial"/>
        <color rgb="FF000000"/>
        <sz val="10.0"/>
      </rPr>
      <t xml:space="preserve">, </t>
    </r>
    <r>
      <rPr>
        <rFont val="Noto Sans CJK SC"/>
        <color rgb="FF000000"/>
        <sz val="10.0"/>
      </rPr>
      <t>대기열 정책 적용</t>
    </r>
  </si>
  <si>
    <t>RULE-0003</t>
  </si>
  <si>
    <t>박관제</t>
  </si>
  <si>
    <t>매크로 의심 봇</t>
  </si>
  <si>
    <t>EVT-0004</t>
  </si>
  <si>
    <t>2026-05-30 11:15:22</t>
  </si>
  <si>
    <t>2026-05-30 11:15:20</t>
  </si>
  <si>
    <t>203.0.113.200</t>
  </si>
  <si>
    <t>www.ticket.co.kr</t>
  </si>
  <si>
    <t>/search?q=</t>
  </si>
  <si>
    <t>WAF-941160</t>
  </si>
  <si>
    <t>srch_1718_web_xss</t>
  </si>
  <si>
    <r>
      <rPr>
        <rFont val="Arial"/>
        <color rgb="FF000000"/>
        <sz val="10.0"/>
      </rPr>
      <t>q=&lt;b&gt;</t>
    </r>
    <r>
      <rPr>
        <rFont val="Noto Sans CJK SC"/>
        <color rgb="FF000000"/>
        <sz val="10.0"/>
      </rPr>
      <t>공연제목</t>
    </r>
    <r>
      <rPr>
        <rFont val="Arial"/>
        <color rgb="FF000000"/>
        <sz val="10.0"/>
      </rPr>
      <t xml:space="preserve">&lt;/b&gt; </t>
    </r>
    <r>
      <rPr>
        <rFont val="Noto Sans CJK SC"/>
        <color rgb="FF000000"/>
        <sz val="10.0"/>
      </rPr>
      <t>콘서트</t>
    </r>
  </si>
  <si>
    <t>정상 사용자가 검색어에 HTML 태그 포함 입력. 스크립트 실행 아님</t>
  </si>
  <si>
    <t>무조치(정상), 룰 예외처리 검토</t>
  </si>
  <si>
    <t>RULE-0001</t>
  </si>
  <si>
    <t>검색창 태그 입력 오탐</t>
  </si>
  <si>
    <t>EVT-0005</t>
  </si>
  <si>
    <t>2026-05-30 22:40:17</t>
  </si>
  <si>
    <t>2026-05-30 22:39:55</t>
  </si>
  <si>
    <t>198.51.100.250</t>
  </si>
  <si>
    <t>SG / AS13335</t>
  </si>
  <si>
    <t>pay.ticket.co.kr</t>
  </si>
  <si>
    <t>/api/v1/payment/confirm</t>
  </si>
  <si>
    <t>WAS Access Log</t>
  </si>
  <si>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미탐 — 사후식별</t>
    </r>
    <r>
      <rPr>
        <rFont val="Arial"/>
        <color rgb="FF000000"/>
        <sz val="10.0"/>
      </rPr>
      <t>)</t>
    </r>
  </si>
  <si>
    <t>srch_1719_pay_anomaly</t>
  </si>
  <si>
    <t>동일 카드 BIN 5초 간격 결제 12건 (사전 미탐지)</t>
  </si>
  <si>
    <t>기존 룰이 결제 빈도 패턴 미감지. 사후 로그 분석으로 발견</t>
  </si>
  <si>
    <t>결제 속도 임계 룰 신규 필요, 카드 BIN 단위 모니터링</t>
  </si>
  <si>
    <t>RULE-0004</t>
  </si>
  <si>
    <t>분석중</t>
  </si>
  <si>
    <t>룰 공백 구간 → 신규 룰</t>
  </si>
  <si>
    <t>↑ 위 노란색 5건은 작성 예시입니다. 실제 운영 시 행을 삭제(또는 덮어쓰기)하고 아래로 데이터를 입력하세요. 드롭다운은 빈 행에도 미리 적용되어 있습니다.</t>
  </si>
  <si>
    <t>룰 고도화 이력 — 오탐/미탐 분석 결과에 따른 탐지 룰 변경 기록 (WAF / IPS / Splunk 상관분석)</t>
  </si>
  <si>
    <t>룰변경 ID</t>
  </si>
  <si>
    <t>등록일자</t>
  </si>
  <si>
    <t>연관 이벤트 ID</t>
  </si>
  <si>
    <t>룰 종류</t>
  </si>
  <si>
    <t>대상 룰명/룰 ID</t>
  </si>
  <si>
    <t>변경 유형</t>
  </si>
  <si>
    <t>변경 사유</t>
  </si>
  <si>
    <t>변경 전 (Before)</t>
  </si>
  <si>
    <t>변경 후 (After)</t>
  </si>
  <si>
    <t>기대 효과</t>
  </si>
  <si>
    <t>검증 결과</t>
  </si>
  <si>
    <t>적용 상태</t>
  </si>
  <si>
    <t>2026-05-30</t>
  </si>
  <si>
    <r>
      <rPr>
        <rFont val="Arial"/>
        <color rgb="FF000000"/>
        <sz val="10.0"/>
      </rPr>
      <t xml:space="preserve">WAF </t>
    </r>
    <r>
      <rPr>
        <rFont val="Noto Sans CJK SC"/>
        <color rgb="FF000000"/>
        <sz val="10.0"/>
      </rPr>
      <t>룰</t>
    </r>
  </si>
  <si>
    <t>WAF-941160 (XSS)</t>
  </si>
  <si>
    <t>예외처리(화이트리스트)</t>
  </si>
  <si>
    <t>오탐 감소</t>
  </si>
  <si>
    <r>
      <rPr>
        <rFont val="Arial"/>
        <color rgb="FF000000"/>
        <sz val="10.0"/>
      </rPr>
      <t xml:space="preserve">/search </t>
    </r>
    <r>
      <rPr>
        <rFont val="Noto Sans CJK SC"/>
        <color rgb="FF000000"/>
        <sz val="10.0"/>
      </rPr>
      <t xml:space="preserve">파라미터 </t>
    </r>
    <r>
      <rPr>
        <rFont val="Arial"/>
        <color rgb="FF000000"/>
        <sz val="10.0"/>
      </rPr>
      <t>q</t>
    </r>
    <r>
      <rPr>
        <rFont val="Noto Sans CJK SC"/>
        <color rgb="FF000000"/>
        <sz val="10.0"/>
      </rPr>
      <t xml:space="preserve">에서 모든 </t>
    </r>
    <r>
      <rPr>
        <rFont val="Arial"/>
        <color rgb="FF000000"/>
        <sz val="10.0"/>
      </rPr>
      <t xml:space="preserve">&lt; &gt; </t>
    </r>
    <r>
      <rPr>
        <rFont val="Noto Sans CJK SC"/>
        <color rgb="FF000000"/>
        <sz val="10.0"/>
      </rPr>
      <t>태그 차단</t>
    </r>
  </si>
  <si>
    <t>검색 엔드포인트는 출력 시 인코딩 처리 → 입력단 차단 완화, 스크립트 컨텍스트만 차단</t>
  </si>
  <si>
    <t>검색창 정상 입력 오탐 제거</t>
  </si>
  <si>
    <t>오탐 일 12건 → 0건, 실제 XSS 차단 유지</t>
  </si>
  <si>
    <t>운영 적용</t>
  </si>
  <si>
    <r>
      <rPr>
        <rFont val="Arial"/>
        <color rgb="FF000000"/>
        <sz val="10.0"/>
      </rPr>
      <t xml:space="preserve">WAF </t>
    </r>
    <r>
      <rPr>
        <rFont val="Noto Sans CJK SC"/>
        <color rgb="FF000000"/>
        <sz val="10.0"/>
      </rPr>
      <t xml:space="preserve">예외 </t>
    </r>
    <r>
      <rPr>
        <rFont val="Arial"/>
        <color rgb="FF000000"/>
        <sz val="10.0"/>
      </rPr>
      <t xml:space="preserve">+ </t>
    </r>
    <r>
      <rPr>
        <rFont val="Noto Sans CJK SC"/>
        <color rgb="FF000000"/>
        <sz val="10.0"/>
      </rPr>
      <t>출력 인코딩 병행</t>
    </r>
  </si>
  <si>
    <t>2026-05-29</t>
  </si>
  <si>
    <r>
      <rPr>
        <rFont val="Arial"/>
        <color rgb="FF000000"/>
        <sz val="10.0"/>
      </rPr>
      <t xml:space="preserve">Splunk </t>
    </r>
    <r>
      <rPr>
        <rFont val="Noto Sans CJK SC"/>
        <color rgb="FF000000"/>
        <sz val="10.0"/>
      </rPr>
      <t>상관분석룰</t>
    </r>
  </si>
  <si>
    <t>임계값(Threshold) 조정</t>
  </si>
  <si>
    <t>미탐 보완</t>
  </si>
  <si>
    <t>분당 동일 IP 로그인 실패 ≥ 100</t>
  </si>
  <si>
    <t>분당 ≥ 50 또는 5분간 다중계정(≥20) 실패 시 알람</t>
  </si>
  <si>
    <t>분산 크리덴셜 스터핑 탐지 강화</t>
  </si>
  <si>
    <t>테스트 환경 탐지율 71%→96%, 오탐 소폭 증가</t>
  </si>
  <si>
    <t>모니터링중</t>
  </si>
  <si>
    <t>대기열 오픈 시간대 별도 임계 검토</t>
  </si>
  <si>
    <r>
      <rPr>
        <rFont val="Arial"/>
        <color rgb="FF000000"/>
        <sz val="10.0"/>
      </rPr>
      <t xml:space="preserve">Anti-Bot </t>
    </r>
    <r>
      <rPr>
        <rFont val="Noto Sans CJK SC"/>
        <color rgb="FF000000"/>
        <sz val="10.0"/>
      </rPr>
      <t>정책</t>
    </r>
  </si>
  <si>
    <t>신규 생성</t>
  </si>
  <si>
    <t>신규 위협 대응</t>
  </si>
  <si>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없음</t>
    </r>
    <r>
      <rPr>
        <rFont val="Arial"/>
        <color rgb="FF000000"/>
        <sz val="10.0"/>
      </rPr>
      <t>)</t>
    </r>
  </si>
  <si>
    <t>좌석 hold 요청 간격 &lt;0.5s &amp; 디바이스FP 반복 → CAPTCHA/차단</t>
  </si>
  <si>
    <t>매크로 좌석선점 차단</t>
  </si>
  <si>
    <t>스테이징 차단율 98%, 정상 사용자 영향 미미</t>
  </si>
  <si>
    <t>테스트(스테이징)</t>
  </si>
  <si>
    <t>대기열 시스템과 연동 필요</t>
  </si>
  <si>
    <r>
      <rPr>
        <rFont val="Arial"/>
        <color rgb="FF000000"/>
        <sz val="10.0"/>
      </rPr>
      <t xml:space="preserve">Splunk </t>
    </r>
    <r>
      <rPr>
        <rFont val="Noto Sans CJK SC"/>
        <color rgb="FF000000"/>
        <sz val="10.0"/>
      </rPr>
      <t>상관분석룰</t>
    </r>
  </si>
  <si>
    <t>pay_velocity_anomaly</t>
  </si>
  <si>
    <r>
      <rPr>
        <rFont val="Arial"/>
        <color rgb="FF000000"/>
        <sz val="10.0"/>
      </rPr>
      <t>(</t>
    </r>
    <r>
      <rPr>
        <rFont val="Noto Sans CJK SC"/>
        <color rgb="FF000000"/>
        <sz val="10.0"/>
      </rPr>
      <t>미탐 — 룰 부재</t>
    </r>
    <r>
      <rPr>
        <rFont val="Arial"/>
        <color rgb="FF000000"/>
        <sz val="10.0"/>
      </rPr>
      <t>)</t>
    </r>
  </si>
  <si>
    <t>동일 카드BIN/디바이스 결제 간격·횟수 임계 초과 시 알람</t>
  </si>
  <si>
    <t>결제 매크로 미탐 구간 제거</t>
  </si>
  <si>
    <t>설계 단계, 결제 로그 인덱스 연동 예정</t>
  </si>
  <si>
    <t>검토중</t>
  </si>
  <si>
    <r>
      <rPr>
        <rFont val="Arial"/>
        <color rgb="FF000000"/>
        <sz val="10.0"/>
      </rPr>
      <t xml:space="preserve">PG </t>
    </r>
    <r>
      <rPr>
        <rFont val="Noto Sans CJK SC"/>
        <color rgb="FF000000"/>
        <sz val="10.0"/>
      </rPr>
      <t>로그 수집 범위 확인</t>
    </r>
  </si>
  <si>
    <t>드롭다운 원본 목록  (이 시트는 수정/삭제하지 마세요)</t>
  </si>
  <si>
    <t>공격유형</t>
  </si>
  <si>
    <t>Y/N</t>
  </si>
  <si>
    <t>신규</t>
  </si>
  <si>
    <r>
      <rPr>
        <rFont val="Arial"/>
        <color rgb="FF000000"/>
        <sz val="10.0"/>
      </rPr>
      <t xml:space="preserve">WAF </t>
    </r>
    <r>
      <rPr>
        <rFont val="Noto Sans CJK SC"/>
        <color rgb="FF000000"/>
        <sz val="10.0"/>
      </rPr>
      <t>룰</t>
    </r>
  </si>
  <si>
    <t>IPS/IDS</t>
  </si>
  <si>
    <r>
      <rPr>
        <rFont val="Arial"/>
        <color rgb="FF000000"/>
        <sz val="10.0"/>
      </rPr>
      <t xml:space="preserve">IPS </t>
    </r>
    <r>
      <rPr>
        <rFont val="Noto Sans CJK SC"/>
        <color rgb="FF000000"/>
        <sz val="10.0"/>
      </rPr>
      <t>시그니처</t>
    </r>
  </si>
  <si>
    <t>로직 수정</t>
  </si>
  <si>
    <t>PUT</t>
  </si>
  <si>
    <r>
      <rPr>
        <rFont val="Arial"/>
        <color rgb="FF000000"/>
        <sz val="10.0"/>
      </rPr>
      <t xml:space="preserve">Splunk </t>
    </r>
    <r>
      <rPr>
        <rFont val="Noto Sans CJK SC"/>
        <color rgb="FF000000"/>
        <sz val="10.0"/>
      </rPr>
      <t>상관분석룰</t>
    </r>
  </si>
  <si>
    <t>탐지정확도 향상</t>
  </si>
  <si>
    <t>DELETE</t>
  </si>
  <si>
    <t>Web Server Log</t>
  </si>
  <si>
    <r>
      <rPr>
        <rFont val="Arial"/>
        <color rgb="FF000000"/>
        <sz val="10.0"/>
      </rPr>
      <t xml:space="preserve">SIEM </t>
    </r>
    <r>
      <rPr>
        <rFont val="Noto Sans CJK SC"/>
        <color rgb="FF000000"/>
        <sz val="10.0"/>
      </rPr>
      <t>알람</t>
    </r>
  </si>
  <si>
    <t>PATCH</t>
  </si>
  <si>
    <r>
      <rPr>
        <rFont val="Arial"/>
        <color rgb="FF000000"/>
        <sz val="10.0"/>
      </rPr>
      <t xml:space="preserve">Splunk </t>
    </r>
    <r>
      <rPr>
        <rFont val="Noto Sans CJK SC"/>
        <color rgb="FF000000"/>
        <sz val="10.0"/>
      </rPr>
      <t>상관분석</t>
    </r>
  </si>
  <si>
    <t>보류</t>
  </si>
  <si>
    <r>
      <rPr>
        <rFont val="Arial"/>
        <color rgb="FF000000"/>
        <sz val="10.0"/>
      </rPr>
      <t xml:space="preserve">Anti-Bot </t>
    </r>
    <r>
      <rPr>
        <rFont val="Noto Sans CJK SC"/>
        <color rgb="FF000000"/>
        <sz val="10.0"/>
      </rPr>
      <t>정책</t>
    </r>
  </si>
  <si>
    <t>정규식 보완</t>
  </si>
  <si>
    <t>성능 개선</t>
  </si>
  <si>
    <t>롤백</t>
  </si>
  <si>
    <t>HEAD</t>
  </si>
  <si>
    <t>EDR</t>
  </si>
  <si>
    <t>방화벽 정책</t>
  </si>
  <si>
    <t>비활성화</t>
  </si>
  <si>
    <t>OPTIONS</t>
  </si>
  <si>
    <r>
      <rPr>
        <rFont val="Arial"/>
        <color rgb="FF000000"/>
        <sz val="10.0"/>
      </rPr>
      <t xml:space="preserve">API </t>
    </r>
    <r>
      <rPr>
        <rFont val="Noto Sans CJK SC"/>
        <color rgb="FF000000"/>
        <sz val="10.0"/>
      </rPr>
      <t>남용</t>
    </r>
    <r>
      <rPr>
        <rFont val="Arial"/>
        <color rgb="FF000000"/>
        <sz val="10.0"/>
      </rPr>
      <t>(Rate Abuse)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</si>
</sst>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5">
    <font>
      <sz val="11.0"/>
      <color theme="1"/>
      <name val="Calibri"/>
      <scheme val="minor"/>
    </font>
    <font>
      <b/>
      <sz val="14.0"/>
      <color rgb="FFFFFFFF"/>
      <name val="Noto Sans"/>
    </font>
    <font/>
    <font>
      <sz val="11.0"/>
      <color theme="1"/>
      <name val="Calibri"/>
    </font>
    <font>
      <b/>
      <sz val="10.0"/>
      <color rgb="FFFFFFFF"/>
      <name val="Noto Sans"/>
    </font>
    <font>
      <b/>
      <sz val="10.0"/>
      <color rgb="FF000000"/>
      <name val="Noto Sans"/>
    </font>
    <font>
      <b/>
      <sz val="12.0"/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sz val="10.0"/>
      <color rgb="FF000000"/>
      <name val="Noto Sans"/>
    </font>
    <font>
      <sz val="10.0"/>
      <color theme="1"/>
      <name val="Noto Sans"/>
    </font>
    <font>
      <b/>
      <sz val="13.0"/>
      <color rgb="FFFFFFFF"/>
      <name val="Noto Sans"/>
    </font>
    <font>
      <b/>
      <sz val="10.0"/>
      <color rgb="FFFFFFFF"/>
      <name val="Arial"/>
    </font>
    <font>
      <i/>
      <sz val="9.0"/>
      <color rgb="FF808080"/>
      <name val="Noto Sans"/>
    </font>
    <font>
      <b/>
      <sz val="12.0"/>
      <color rgb="FFFFFFFF"/>
      <name val="Noto Sans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E4"/>
        <bgColor rgb="FFFCE4E4"/>
      </patternFill>
    </fill>
    <fill>
      <patternFill patternType="solid">
        <fgColor rgb="FFFFD966"/>
        <bgColor rgb="FFFFD966"/>
      </patternFill>
    </fill>
    <fill>
      <patternFill patternType="solid">
        <fgColor rgb="FFF2F2F2"/>
        <bgColor rgb="FFF2F2F2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left" shrinkToFit="0" vertical="center" wrapText="1"/>
    </xf>
    <xf borderId="5" fillId="0" fontId="2" numFmtId="0" xfId="0" applyBorder="1" applyFont="1"/>
    <xf borderId="6" fillId="4" fontId="5" numFmtId="0" xfId="0" applyAlignment="1" applyBorder="1" applyFill="1" applyFont="1">
      <alignment horizontal="left" shrinkToFit="0" vertical="center" wrapText="1"/>
    </xf>
    <xf borderId="6" fillId="0" fontId="6" numFmtId="1" xfId="0" applyAlignment="1" applyBorder="1" applyFont="1" applyNumberFormat="1">
      <alignment horizontal="center" shrinkToFit="0" vertical="center" wrapText="0"/>
    </xf>
    <xf borderId="6" fillId="0" fontId="7" numFmtId="0" xfId="0" applyAlignment="1" applyBorder="1" applyFont="1">
      <alignment horizontal="left" shrinkToFit="0" vertical="center" wrapText="1"/>
    </xf>
    <xf borderId="6" fillId="0" fontId="8" numFmtId="0" xfId="0" applyAlignment="1" applyBorder="1" applyFont="1">
      <alignment horizontal="center" shrinkToFit="0" vertical="bottom" wrapText="0"/>
    </xf>
    <xf borderId="6" fillId="0" fontId="6" numFmtId="164" xfId="0" applyAlignment="1" applyBorder="1" applyFont="1" applyNumberFormat="1">
      <alignment horizontal="center" shrinkToFit="0" vertical="center" wrapText="0"/>
    </xf>
    <xf borderId="6" fillId="0" fontId="9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0" fillId="0" fontId="10" numFmtId="0" xfId="0" applyAlignment="1" applyFont="1">
      <alignment horizontal="left" shrinkToFit="0" vertical="bottom" wrapText="1"/>
    </xf>
    <xf borderId="1" fillId="2" fontId="11" numFmtId="0" xfId="0" applyAlignment="1" applyBorder="1" applyFont="1">
      <alignment horizontal="left" shrinkToFit="0" vertical="center" wrapText="0"/>
    </xf>
    <xf borderId="6" fillId="2" fontId="4" numFmtId="0" xfId="0" applyAlignment="1" applyBorder="1" applyFont="1">
      <alignment horizontal="center" shrinkToFit="0" vertical="center" wrapText="1"/>
    </xf>
    <xf borderId="6" fillId="2" fontId="12" numFmtId="0" xfId="0" applyAlignment="1" applyBorder="1" applyFont="1">
      <alignment horizontal="center" shrinkToFit="0" vertical="center" wrapText="1"/>
    </xf>
    <xf borderId="6" fillId="5" fontId="7" numFmtId="0" xfId="0" applyAlignment="1" applyBorder="1" applyFill="1" applyFont="1">
      <alignment horizontal="left" shrinkToFit="0" vertical="center" wrapText="1"/>
    </xf>
    <xf borderId="6" fillId="6" fontId="9" numFmtId="0" xfId="0" applyAlignment="1" applyBorder="1" applyFill="1" applyFont="1">
      <alignment horizontal="left" shrinkToFit="0" vertical="center" wrapText="1"/>
    </xf>
    <xf borderId="6" fillId="5" fontId="9" numFmtId="0" xfId="0" applyAlignment="1" applyBorder="1" applyFont="1">
      <alignment horizontal="left" shrinkToFit="0" vertical="center" wrapText="1"/>
    </xf>
    <xf borderId="6" fillId="7" fontId="9" numFmtId="0" xfId="0" applyAlignment="1" applyBorder="1" applyFill="1" applyFont="1">
      <alignment horizontal="left" shrinkToFit="0" vertical="center" wrapText="1"/>
    </xf>
    <xf borderId="6" fillId="8" fontId="9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horizontal="left" shrinkToFit="0" vertical="bottom" wrapText="0"/>
    </xf>
    <xf borderId="1" fillId="3" fontId="14" numFmtId="0" xfId="0" applyAlignment="1" applyBorder="1" applyFont="1">
      <alignment horizontal="left" shrinkToFit="0" vertical="center" wrapText="0"/>
    </xf>
    <xf borderId="6" fillId="9" fontId="7" numFmtId="0" xfId="0" applyAlignment="1" applyBorder="1" applyFill="1" applyFont="1">
      <alignment horizontal="left" shrinkToFit="0" vertical="center" wrapText="1"/>
    </xf>
    <xf borderId="6" fillId="9" fontId="9" numFmtId="0" xfId="0" applyAlignment="1" applyBorder="1" applyFont="1">
      <alignment horizontal="left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6" fillId="3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0.0"/>
    <col customWidth="1" min="3" max="3" width="14.0"/>
    <col customWidth="1" min="4" max="4" width="3.0"/>
    <col customWidth="1" min="5" max="5" width="26.0"/>
    <col customWidth="1" min="6" max="6" width="14.0"/>
    <col customWidth="1" min="7" max="26" width="8.71"/>
  </cols>
  <sheetData>
    <row r="1" ht="31.5" customHeight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 ht="15.0" customHeight="1">
      <c r="A3" s="4"/>
      <c r="B3" s="5" t="s">
        <v>1</v>
      </c>
      <c r="C3" s="6"/>
      <c r="D3" s="4"/>
      <c r="E3" s="5" t="s">
        <v>2</v>
      </c>
      <c r="F3" s="6"/>
    </row>
    <row r="4" ht="15.0" customHeight="1">
      <c r="A4" s="4"/>
      <c r="B4" s="7" t="s">
        <v>3</v>
      </c>
      <c r="C4" s="8">
        <f>COUNTIF('탐지·분석 로그'!$A$3:$A$600,"EVT-*")</f>
        <v>5</v>
      </c>
      <c r="D4" s="4"/>
      <c r="E4" s="9" t="s">
        <v>4</v>
      </c>
      <c r="F4" s="10">
        <f>COUNTIF('탐지·분석 로그'!$D$3:$D$600,"SQL Injection")</f>
        <v>1</v>
      </c>
    </row>
    <row r="5" ht="15.0" customHeight="1">
      <c r="A5" s="4"/>
      <c r="B5" s="7" t="s">
        <v>5</v>
      </c>
      <c r="C5" s="8">
        <f>COUNTIF('탐지·분석 로그'!$P$3:$P$600,"정탐(TP)")</f>
        <v>3</v>
      </c>
      <c r="D5" s="4"/>
      <c r="E5" s="9" t="s">
        <v>6</v>
      </c>
      <c r="F5" s="10">
        <f>COUNTIF('탐지·분석 로그'!$D$3:$D$600,"XSS(Cross-Site Scripting)")</f>
        <v>1</v>
      </c>
    </row>
    <row r="6" ht="15.0" customHeight="1">
      <c r="A6" s="4"/>
      <c r="B6" s="7" t="s">
        <v>7</v>
      </c>
      <c r="C6" s="8">
        <f>COUNTIF('탐지·분석 로그'!$P$3:$P$600,"오탐(FP)")</f>
        <v>1</v>
      </c>
      <c r="D6" s="4"/>
      <c r="E6" s="9" t="s">
        <v>8</v>
      </c>
      <c r="F6" s="10">
        <f>COUNTIF('탐지·분석 로그'!$D$3:$D$600,"Command Injection")</f>
        <v>0</v>
      </c>
    </row>
    <row r="7" ht="15.0" customHeight="1">
      <c r="A7" s="4"/>
      <c r="B7" s="7" t="s">
        <v>9</v>
      </c>
      <c r="C7" s="8">
        <f>COUNTIF('탐지·분석 로그'!$P$3:$P$600,"미탐(FN)")</f>
        <v>1</v>
      </c>
      <c r="D7" s="4"/>
      <c r="E7" s="9" t="s">
        <v>10</v>
      </c>
      <c r="F7" s="10">
        <f>COUNTIF('탐지·분석 로그'!$D$3:$D$600,"Path Traversal")</f>
        <v>0</v>
      </c>
    </row>
    <row r="8" ht="15.0" customHeight="1">
      <c r="A8" s="4"/>
      <c r="B8" s="7" t="s">
        <v>11</v>
      </c>
      <c r="C8" s="8">
        <f>COUNTIF('탐지·분석 로그'!$P$3:$P$600,"조사중")</f>
        <v>0</v>
      </c>
      <c r="D8" s="4"/>
      <c r="E8" s="9" t="s">
        <v>12</v>
      </c>
      <c r="F8" s="10">
        <f>COUNTIF('탐지·분석 로그'!$D$3:$D$600,"File Upload")</f>
        <v>0</v>
      </c>
    </row>
    <row r="9" ht="15.0" customHeight="1">
      <c r="A9" s="4"/>
      <c r="B9" s="7" t="s">
        <v>13</v>
      </c>
      <c r="C9" s="11">
        <f>IFERROR(C6/(C5+C6),0)</f>
        <v>0.25</v>
      </c>
      <c r="D9" s="4"/>
      <c r="E9" s="12" t="s">
        <v>14</v>
      </c>
      <c r="F9" s="10">
        <f>COUNTIF('탐지·분석 로그'!$D$3:$D$600,"인증 우회(Auth Bypass)")</f>
        <v>0</v>
      </c>
    </row>
    <row r="10" ht="15.0" customHeight="1">
      <c r="A10" s="4"/>
      <c r="B10" s="7" t="s">
        <v>15</v>
      </c>
      <c r="C10" s="11">
        <f>IFERROR(C5/(C5+C6),0)</f>
        <v>0.75</v>
      </c>
      <c r="D10" s="4"/>
      <c r="E10" s="12" t="s">
        <v>16</v>
      </c>
      <c r="F10" s="10">
        <f>COUNTIF('탐지·분석 로그'!$D$3:$D$600,"무차별 대입(Brute Force)")</f>
        <v>0</v>
      </c>
    </row>
    <row r="11" ht="26.25" customHeight="1">
      <c r="A11" s="4"/>
      <c r="B11" s="7" t="s">
        <v>17</v>
      </c>
      <c r="C11" s="8">
        <f>COUNTIF('탐지·분석 로그'!$S$3:$S$600,"Y")</f>
        <v>4</v>
      </c>
      <c r="D11" s="4"/>
      <c r="E11" s="12" t="s">
        <v>18</v>
      </c>
      <c r="F11" s="10">
        <f>COUNTIF('탐지·분석 로그'!$D$3:$D$600,"크리덴셜 스터핑(Credential Stuffing)")</f>
        <v>1</v>
      </c>
    </row>
    <row r="12" ht="15.0" customHeight="1">
      <c r="A12" s="4"/>
      <c r="B12" s="7" t="s">
        <v>19</v>
      </c>
      <c r="C12" s="8">
        <f>COUNTA('룰 고도화 이력'!$A$3:$A$300)</f>
        <v>4</v>
      </c>
      <c r="D12" s="4"/>
      <c r="E12" s="12" t="s">
        <v>20</v>
      </c>
      <c r="F12" s="10">
        <f>COUNTIF('탐지·분석 로그'!$D$3:$D$600,"매크로/봇 티켓팅")</f>
        <v>1</v>
      </c>
    </row>
    <row r="13" ht="15.0" customHeight="1">
      <c r="A13" s="4"/>
      <c r="B13" s="4"/>
      <c r="C13" s="4"/>
      <c r="D13" s="4"/>
      <c r="E13" s="12" t="s">
        <v>21</v>
      </c>
      <c r="F13" s="10">
        <f>COUNTIF('탐지·분석 로그'!$D$3:$D$600,"웹 스크래핑(Scraping)")</f>
        <v>0</v>
      </c>
    </row>
    <row r="14" ht="15.0" customHeight="1">
      <c r="A14" s="4"/>
      <c r="B14" s="5" t="s">
        <v>22</v>
      </c>
      <c r="C14" s="6"/>
      <c r="D14" s="4"/>
      <c r="E14" s="12" t="s">
        <v>23</v>
      </c>
      <c r="F14" s="10">
        <f>COUNTIF('탐지·분석 로그'!$D$3:$D$600,"비정상 예매/매크로 결제")</f>
        <v>1</v>
      </c>
    </row>
    <row r="15" ht="15.0" customHeight="1">
      <c r="A15" s="4"/>
      <c r="B15" s="9" t="s">
        <v>24</v>
      </c>
      <c r="C15" s="10">
        <f>COUNTIF('탐지·분석 로그'!$O$3:$O$600,"Critical")</f>
        <v>1</v>
      </c>
      <c r="D15" s="4"/>
      <c r="E15" s="12" t="s">
        <v>25</v>
      </c>
      <c r="F15" s="10">
        <f>COUNTIF('탐지·분석 로그'!$D$3:$D$600,"쿠폰/포인트 악용")</f>
        <v>0</v>
      </c>
    </row>
    <row r="16" ht="15.0" customHeight="1">
      <c r="A16" s="4"/>
      <c r="B16" s="9" t="s">
        <v>26</v>
      </c>
      <c r="C16" s="10">
        <f>COUNTIF('탐지·분석 로그'!$O$3:$O$600,"High")</f>
        <v>3</v>
      </c>
      <c r="D16" s="4"/>
      <c r="E16" s="9" t="s">
        <v>27</v>
      </c>
      <c r="F16" s="10">
        <f>COUNTIF('탐지·분석 로그'!$D$3:$D$600,"API 남용(Rate Abuse)")</f>
        <v>0</v>
      </c>
    </row>
    <row r="17" ht="15.0" customHeight="1">
      <c r="A17" s="4"/>
      <c r="B17" s="9" t="s">
        <v>28</v>
      </c>
      <c r="C17" s="10">
        <f>COUNTIF('탐지·분석 로그'!$O$3:$O$600,"Medium")</f>
        <v>1</v>
      </c>
      <c r="D17" s="4"/>
      <c r="E17" s="9" t="s">
        <v>29</v>
      </c>
      <c r="F17" s="10">
        <f>COUNTIF('탐지·분석 로그'!$D$3:$D$600,"DDoS/DoS")</f>
        <v>0</v>
      </c>
    </row>
    <row r="18" ht="15.0" customHeight="1">
      <c r="A18" s="4"/>
      <c r="B18" s="9" t="s">
        <v>30</v>
      </c>
      <c r="C18" s="10">
        <f>COUNTIF('탐지·분석 로그'!$O$3:$O$600,"Low")</f>
        <v>0</v>
      </c>
      <c r="D18" s="4"/>
      <c r="E18" s="12" t="s">
        <v>31</v>
      </c>
      <c r="F18" s="10">
        <f>COUNTIF('탐지·분석 로그'!$D$3:$D$600,"스캐닝/정찰(Recon)")</f>
        <v>0</v>
      </c>
    </row>
    <row r="19" ht="15.0" customHeight="1">
      <c r="A19" s="4"/>
      <c r="B19" s="9" t="s">
        <v>32</v>
      </c>
      <c r="C19" s="10">
        <f>COUNTIF('탐지·분석 로그'!$O$3:$O$600,"Info")</f>
        <v>0</v>
      </c>
      <c r="D19" s="4"/>
      <c r="E19" s="12" t="s">
        <v>33</v>
      </c>
      <c r="F19" s="10">
        <f>COUNTIF('탐지·분석 로그'!$D$3:$D$600,"악성 봇")</f>
        <v>0</v>
      </c>
    </row>
    <row r="20" ht="15.0" customHeight="1">
      <c r="A20" s="4"/>
      <c r="B20" s="4"/>
      <c r="C20" s="4"/>
      <c r="D20" s="4"/>
      <c r="E20" s="12" t="s">
        <v>34</v>
      </c>
      <c r="F20" s="10">
        <f>COUNTIF('탐지·분석 로그'!$D$3:$D$600,"기타")</f>
        <v>0</v>
      </c>
    </row>
    <row r="21" ht="15.75" customHeight="1">
      <c r="A21" s="4"/>
      <c r="B21" s="4"/>
      <c r="C21" s="4"/>
      <c r="D21" s="4"/>
      <c r="E21" s="4"/>
      <c r="F21" s="4"/>
    </row>
    <row r="22" ht="15.0" customHeight="1">
      <c r="A22" s="4"/>
      <c r="B22" s="13" t="s">
        <v>35</v>
      </c>
      <c r="C22" s="14"/>
      <c r="D22" s="14"/>
      <c r="E22" s="14"/>
      <c r="F22" s="15"/>
    </row>
    <row r="23" ht="18.0" customHeight="1">
      <c r="A23" s="4"/>
      <c r="B23" s="16" t="s">
        <v>36</v>
      </c>
    </row>
    <row r="24" ht="18.0" customHeight="1">
      <c r="A24" s="4"/>
      <c r="B24" s="16" t="s">
        <v>37</v>
      </c>
    </row>
    <row r="25" ht="18.0" customHeight="1">
      <c r="A25" s="4"/>
      <c r="B25" s="16" t="s">
        <v>38</v>
      </c>
    </row>
    <row r="26" ht="18.0" customHeight="1">
      <c r="A26" s="4"/>
      <c r="B26" s="16" t="s">
        <v>39</v>
      </c>
    </row>
    <row r="27" ht="18.0" customHeight="1">
      <c r="A27" s="4"/>
      <c r="B27" s="16" t="s">
        <v>40</v>
      </c>
    </row>
    <row r="28" ht="15.75" customHeight="1">
      <c r="A28" s="4"/>
      <c r="B28" s="4"/>
      <c r="C28" s="4"/>
      <c r="D28" s="4"/>
      <c r="E28" s="4"/>
      <c r="F28" s="4"/>
    </row>
    <row r="29" ht="15.75" customHeight="1">
      <c r="A29" s="4"/>
      <c r="B29" s="4"/>
      <c r="C29" s="4"/>
      <c r="D29" s="4"/>
      <c r="E29" s="4"/>
      <c r="F29" s="4"/>
    </row>
    <row r="30" ht="15.75" customHeight="1">
      <c r="A30" s="4"/>
      <c r="B30" s="4"/>
      <c r="C30" s="4"/>
      <c r="D30" s="4"/>
      <c r="E30" s="4"/>
      <c r="F30" s="4"/>
    </row>
    <row r="31" ht="15.75" customHeight="1">
      <c r="A31" s="4"/>
      <c r="B31" s="4"/>
      <c r="C31" s="4"/>
      <c r="D31" s="4"/>
      <c r="E31" s="4"/>
      <c r="F31" s="4"/>
    </row>
    <row r="32" ht="15.75" customHeight="1">
      <c r="A32" s="4"/>
      <c r="B32" s="4"/>
      <c r="C32" s="4"/>
      <c r="D32" s="4"/>
      <c r="E32" s="4"/>
      <c r="F32" s="4"/>
    </row>
    <row r="33" ht="15.75" customHeight="1">
      <c r="A33" s="4"/>
      <c r="B33" s="4"/>
      <c r="C33" s="4"/>
      <c r="D33" s="4"/>
      <c r="E33" s="4"/>
      <c r="F33" s="4"/>
    </row>
    <row r="34" ht="15.75" customHeight="1">
      <c r="A34" s="4"/>
      <c r="B34" s="4"/>
      <c r="C34" s="4"/>
      <c r="D34" s="4"/>
      <c r="E34" s="4"/>
      <c r="F34" s="4"/>
    </row>
    <row r="35" ht="15.75" customHeight="1">
      <c r="A35" s="4"/>
      <c r="B35" s="4"/>
      <c r="C35" s="4"/>
      <c r="D35" s="4"/>
      <c r="E35" s="4"/>
      <c r="F35" s="4"/>
    </row>
    <row r="36" ht="15.75" customHeight="1">
      <c r="A36" s="4"/>
      <c r="B36" s="4"/>
      <c r="C36" s="4"/>
      <c r="D36" s="4"/>
      <c r="E36" s="4"/>
      <c r="F36" s="4"/>
    </row>
    <row r="37" ht="15.75" customHeight="1">
      <c r="A37" s="4"/>
      <c r="B37" s="4"/>
      <c r="C37" s="4"/>
      <c r="D37" s="4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4"/>
      <c r="B40" s="4"/>
      <c r="C40" s="4"/>
      <c r="D40" s="4"/>
      <c r="E40" s="4"/>
      <c r="F40" s="4"/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10">
    <mergeCell ref="B25:F25"/>
    <mergeCell ref="B26:F26"/>
    <mergeCell ref="B27:F27"/>
    <mergeCell ref="A1:F1"/>
    <mergeCell ref="B3:C3"/>
    <mergeCell ref="E3:F3"/>
    <mergeCell ref="B14:C14"/>
    <mergeCell ref="B22:F22"/>
    <mergeCell ref="B23:F23"/>
    <mergeCell ref="B24:F2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3" width="17.0"/>
    <col customWidth="1" min="4" max="4" width="20.0"/>
    <col customWidth="1" min="5" max="6" width="15.0"/>
    <col customWidth="1" min="7" max="7" width="16.0"/>
    <col customWidth="1" min="8" max="8" width="24.0"/>
    <col customWidth="1" min="9" max="9" width="11.0"/>
    <col customWidth="1" min="10" max="10" width="14.0"/>
    <col customWidth="1" min="11" max="12" width="18.0"/>
    <col customWidth="1" min="13" max="13" width="22.0"/>
    <col customWidth="1" min="14" max="14" width="34.0"/>
    <col customWidth="1" min="15" max="15" width="11.0"/>
    <col customWidth="1" min="16" max="16" width="13.0"/>
    <col customWidth="1" min="17" max="17" width="30.0"/>
    <col customWidth="1" min="18" max="18" width="26.0"/>
    <col customWidth="1" min="19" max="19" width="13.0"/>
    <col customWidth="1" min="20" max="20" width="14.0"/>
    <col customWidth="1" min="21" max="21" width="12.0"/>
    <col customWidth="1" min="22" max="22" width="13.0"/>
    <col customWidth="1" min="23" max="23" width="24.0"/>
    <col customWidth="1" min="24" max="26" width="8.71"/>
  </cols>
  <sheetData>
    <row r="1" ht="27.75" customHeight="1">
      <c r="A1" s="17" t="s">
        <v>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39.75" customHeight="1">
      <c r="A2" s="18" t="s">
        <v>42</v>
      </c>
      <c r="B2" s="18" t="s">
        <v>43</v>
      </c>
      <c r="C2" s="18" t="s">
        <v>44</v>
      </c>
      <c r="D2" s="18" t="s">
        <v>45</v>
      </c>
      <c r="E2" s="18" t="s">
        <v>46</v>
      </c>
      <c r="F2" s="18" t="s">
        <v>47</v>
      </c>
      <c r="G2" s="18" t="s">
        <v>48</v>
      </c>
      <c r="H2" s="18" t="s">
        <v>49</v>
      </c>
      <c r="I2" s="19" t="s">
        <v>50</v>
      </c>
      <c r="J2" s="18" t="s">
        <v>51</v>
      </c>
      <c r="K2" s="18" t="s">
        <v>52</v>
      </c>
      <c r="L2" s="18" t="s">
        <v>53</v>
      </c>
      <c r="M2" s="19" t="s">
        <v>54</v>
      </c>
      <c r="N2" s="18" t="s">
        <v>55</v>
      </c>
      <c r="O2" s="18" t="s">
        <v>56</v>
      </c>
      <c r="P2" s="18" t="s">
        <v>57</v>
      </c>
      <c r="Q2" s="18" t="s">
        <v>58</v>
      </c>
      <c r="R2" s="18" t="s">
        <v>59</v>
      </c>
      <c r="S2" s="18" t="s">
        <v>60</v>
      </c>
      <c r="T2" s="18" t="s">
        <v>61</v>
      </c>
      <c r="U2" s="18" t="s">
        <v>62</v>
      </c>
      <c r="V2" s="18" t="s">
        <v>63</v>
      </c>
      <c r="W2" s="18" t="s">
        <v>64</v>
      </c>
    </row>
    <row r="3" ht="30.0" customHeight="1">
      <c r="A3" s="20" t="s">
        <v>65</v>
      </c>
      <c r="B3" s="20" t="s">
        <v>66</v>
      </c>
      <c r="C3" s="20" t="s">
        <v>67</v>
      </c>
      <c r="D3" s="20" t="s">
        <v>4</v>
      </c>
      <c r="E3" s="20" t="s">
        <v>68</v>
      </c>
      <c r="F3" s="20" t="s">
        <v>69</v>
      </c>
      <c r="G3" s="20" t="s">
        <v>70</v>
      </c>
      <c r="H3" s="20" t="s">
        <v>71</v>
      </c>
      <c r="I3" s="20" t="s">
        <v>72</v>
      </c>
      <c r="J3" s="20" t="s">
        <v>73</v>
      </c>
      <c r="K3" s="20" t="s">
        <v>74</v>
      </c>
      <c r="L3" s="20" t="s">
        <v>75</v>
      </c>
      <c r="M3" s="20" t="s">
        <v>76</v>
      </c>
      <c r="N3" s="20" t="s">
        <v>77</v>
      </c>
      <c r="O3" s="20" t="s">
        <v>26</v>
      </c>
      <c r="P3" s="21" t="s">
        <v>5</v>
      </c>
      <c r="Q3" s="20" t="s">
        <v>78</v>
      </c>
      <c r="R3" s="22" t="s">
        <v>79</v>
      </c>
      <c r="S3" s="20" t="s">
        <v>80</v>
      </c>
      <c r="T3" s="20"/>
      <c r="U3" s="22" t="s">
        <v>81</v>
      </c>
      <c r="V3" s="22" t="s">
        <v>82</v>
      </c>
      <c r="W3" s="22" t="s">
        <v>83</v>
      </c>
    </row>
    <row r="4" ht="30.0" customHeight="1">
      <c r="A4" s="20" t="s">
        <v>84</v>
      </c>
      <c r="B4" s="20" t="s">
        <v>85</v>
      </c>
      <c r="C4" s="20" t="s">
        <v>86</v>
      </c>
      <c r="D4" s="22" t="s">
        <v>18</v>
      </c>
      <c r="E4" s="20" t="s">
        <v>87</v>
      </c>
      <c r="F4" s="20" t="s">
        <v>88</v>
      </c>
      <c r="G4" s="20" t="s">
        <v>89</v>
      </c>
      <c r="H4" s="20" t="s">
        <v>90</v>
      </c>
      <c r="I4" s="20" t="s">
        <v>91</v>
      </c>
      <c r="J4" s="20" t="s">
        <v>92</v>
      </c>
      <c r="K4" s="20" t="s">
        <v>93</v>
      </c>
      <c r="L4" s="20" t="s">
        <v>94</v>
      </c>
      <c r="M4" s="20" t="s">
        <v>95</v>
      </c>
      <c r="N4" s="20" t="s">
        <v>96</v>
      </c>
      <c r="O4" s="20" t="s">
        <v>26</v>
      </c>
      <c r="P4" s="21" t="s">
        <v>5</v>
      </c>
      <c r="Q4" s="22" t="s">
        <v>97</v>
      </c>
      <c r="R4" s="20" t="s">
        <v>98</v>
      </c>
      <c r="S4" s="20" t="s">
        <v>99</v>
      </c>
      <c r="T4" s="20" t="s">
        <v>100</v>
      </c>
      <c r="U4" s="22" t="s">
        <v>101</v>
      </c>
      <c r="V4" s="22" t="s">
        <v>102</v>
      </c>
      <c r="W4" s="22" t="s">
        <v>103</v>
      </c>
    </row>
    <row r="5" ht="30.0" customHeight="1">
      <c r="A5" s="20" t="s">
        <v>104</v>
      </c>
      <c r="B5" s="20" t="s">
        <v>105</v>
      </c>
      <c r="C5" s="20" t="s">
        <v>106</v>
      </c>
      <c r="D5" s="22" t="s">
        <v>20</v>
      </c>
      <c r="E5" s="20" t="s">
        <v>107</v>
      </c>
      <c r="F5" s="20" t="s">
        <v>108</v>
      </c>
      <c r="G5" s="20" t="s">
        <v>70</v>
      </c>
      <c r="H5" s="20" t="s">
        <v>109</v>
      </c>
      <c r="I5" s="20" t="s">
        <v>91</v>
      </c>
      <c r="J5" s="20" t="s">
        <v>110</v>
      </c>
      <c r="K5" s="20" t="s">
        <v>111</v>
      </c>
      <c r="L5" s="20" t="s">
        <v>112</v>
      </c>
      <c r="M5" s="20" t="s">
        <v>113</v>
      </c>
      <c r="N5" s="22" t="s">
        <v>114</v>
      </c>
      <c r="O5" s="20" t="s">
        <v>24</v>
      </c>
      <c r="P5" s="21" t="s">
        <v>5</v>
      </c>
      <c r="Q5" s="22" t="s">
        <v>115</v>
      </c>
      <c r="R5" s="20" t="s">
        <v>116</v>
      </c>
      <c r="S5" s="20" t="s">
        <v>99</v>
      </c>
      <c r="T5" s="20" t="s">
        <v>117</v>
      </c>
      <c r="U5" s="22" t="s">
        <v>118</v>
      </c>
      <c r="V5" s="22" t="s">
        <v>102</v>
      </c>
      <c r="W5" s="22" t="s">
        <v>119</v>
      </c>
    </row>
    <row r="6" ht="30.0" customHeight="1">
      <c r="A6" s="20" t="s">
        <v>120</v>
      </c>
      <c r="B6" s="20" t="s">
        <v>121</v>
      </c>
      <c r="C6" s="20" t="s">
        <v>122</v>
      </c>
      <c r="D6" s="20" t="s">
        <v>6</v>
      </c>
      <c r="E6" s="20" t="s">
        <v>123</v>
      </c>
      <c r="F6" s="20" t="s">
        <v>69</v>
      </c>
      <c r="G6" s="20" t="s">
        <v>124</v>
      </c>
      <c r="H6" s="20" t="s">
        <v>125</v>
      </c>
      <c r="I6" s="20" t="s">
        <v>72</v>
      </c>
      <c r="J6" s="20" t="s">
        <v>73</v>
      </c>
      <c r="K6" s="20" t="s">
        <v>74</v>
      </c>
      <c r="L6" s="20" t="s">
        <v>126</v>
      </c>
      <c r="M6" s="20" t="s">
        <v>127</v>
      </c>
      <c r="N6" s="20" t="s">
        <v>128</v>
      </c>
      <c r="O6" s="20" t="s">
        <v>28</v>
      </c>
      <c r="P6" s="23" t="s">
        <v>7</v>
      </c>
      <c r="Q6" s="22" t="s">
        <v>129</v>
      </c>
      <c r="R6" s="22" t="s">
        <v>130</v>
      </c>
      <c r="S6" s="20" t="s">
        <v>99</v>
      </c>
      <c r="T6" s="20" t="s">
        <v>131</v>
      </c>
      <c r="U6" s="22" t="s">
        <v>81</v>
      </c>
      <c r="V6" s="22" t="s">
        <v>102</v>
      </c>
      <c r="W6" s="22" t="s">
        <v>132</v>
      </c>
    </row>
    <row r="7" ht="30.0" customHeight="1">
      <c r="A7" s="20" t="s">
        <v>133</v>
      </c>
      <c r="B7" s="20" t="s">
        <v>134</v>
      </c>
      <c r="C7" s="20" t="s">
        <v>135</v>
      </c>
      <c r="D7" s="22" t="s">
        <v>23</v>
      </c>
      <c r="E7" s="20" t="s">
        <v>136</v>
      </c>
      <c r="F7" s="20" t="s">
        <v>137</v>
      </c>
      <c r="G7" s="20" t="s">
        <v>138</v>
      </c>
      <c r="H7" s="20" t="s">
        <v>139</v>
      </c>
      <c r="I7" s="20" t="s">
        <v>91</v>
      </c>
      <c r="J7" s="20" t="s">
        <v>140</v>
      </c>
      <c r="K7" s="20" t="s">
        <v>111</v>
      </c>
      <c r="L7" s="20" t="s">
        <v>141</v>
      </c>
      <c r="M7" s="20" t="s">
        <v>142</v>
      </c>
      <c r="N7" s="22" t="s">
        <v>143</v>
      </c>
      <c r="O7" s="20" t="s">
        <v>26</v>
      </c>
      <c r="P7" s="24" t="s">
        <v>9</v>
      </c>
      <c r="Q7" s="22" t="s">
        <v>144</v>
      </c>
      <c r="R7" s="22" t="s">
        <v>145</v>
      </c>
      <c r="S7" s="20" t="s">
        <v>99</v>
      </c>
      <c r="T7" s="20" t="s">
        <v>146</v>
      </c>
      <c r="U7" s="22" t="s">
        <v>101</v>
      </c>
      <c r="V7" s="22" t="s">
        <v>147</v>
      </c>
      <c r="W7" s="22" t="s">
        <v>148</v>
      </c>
    </row>
    <row r="8" ht="13.5" customHeight="1">
      <c r="A8" s="25" t="s">
        <v>149</v>
      </c>
    </row>
    <row r="9" ht="15.0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ht="15.0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ht="15.0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ht="15.0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ht="15.0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 ht="15.0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ht="15.0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ht="15.0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ht="15.0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ht="15.0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 ht="15.0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 ht="15.0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 ht="15.0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 ht="15.0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 ht="15.0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 ht="15.0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 ht="15.0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 ht="15.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 ht="15.0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 ht="15.0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ht="15.0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 ht="15.0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 ht="15.0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 ht="15.0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 ht="15.0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 ht="15.0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 ht="15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 ht="15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ht="15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 ht="15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 ht="15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 ht="15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 ht="15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 ht="15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 ht="15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ht="15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ht="15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ht="15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ht="15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ht="15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 ht="15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 ht="15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 ht="15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 ht="15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 ht="15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 ht="15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 ht="15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 ht="15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 ht="15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 ht="15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 ht="15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 ht="15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ht="15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 ht="15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 ht="15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 ht="15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 ht="15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 ht="15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 ht="15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 ht="15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ht="15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 ht="15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 ht="15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 ht="15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 ht="15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ht="15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 ht="15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 ht="15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 ht="15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 ht="15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 ht="15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 ht="15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 ht="15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ht="15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 ht="15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 ht="15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 ht="15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 ht="15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 ht="15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 ht="15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 ht="15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ht="15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 ht="15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 ht="15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 ht="15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 ht="15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 ht="15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 ht="15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 ht="15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 ht="15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 ht="15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 ht="15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  <row r="101" ht="15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</row>
    <row r="102" ht="15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</row>
    <row r="103" ht="15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</row>
    <row r="104" ht="15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</row>
    <row r="105" ht="15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</row>
    <row r="106" ht="15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</row>
    <row r="107" ht="15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</row>
    <row r="108" ht="15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</row>
    <row r="109" ht="15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</row>
    <row r="110" ht="15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</row>
    <row r="111" ht="15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</row>
    <row r="112" ht="15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</row>
    <row r="113" ht="15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</row>
    <row r="114" ht="15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</row>
    <row r="115" ht="15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</row>
    <row r="116" ht="15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ht="15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</row>
    <row r="118" ht="15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</row>
    <row r="119" ht="15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</row>
    <row r="120" ht="15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</row>
    <row r="121" ht="15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</row>
    <row r="122" ht="15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</row>
    <row r="123" ht="15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</row>
    <row r="124" ht="15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ht="15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</row>
    <row r="126" ht="15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</row>
    <row r="127" ht="15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</row>
    <row r="128" ht="15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</row>
    <row r="129" ht="15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</row>
    <row r="130" ht="15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</row>
    <row r="131" ht="15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</row>
    <row r="132" ht="15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</row>
    <row r="133" ht="15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</row>
    <row r="134" ht="15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</row>
    <row r="135" ht="15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</row>
    <row r="136" ht="15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</row>
    <row r="137" ht="15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</row>
    <row r="138" ht="15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</row>
    <row r="139" ht="15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</row>
    <row r="140" ht="15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</row>
    <row r="141" ht="15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</row>
    <row r="142" ht="15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</row>
    <row r="143" ht="15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</row>
    <row r="144" ht="15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</row>
    <row r="145" ht="15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</row>
    <row r="146" ht="15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</row>
    <row r="147" ht="15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</row>
    <row r="148" ht="15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ht="15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ht="15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ht="15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ht="15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ht="15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ht="15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ht="15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ht="15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ht="15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ht="15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ht="15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ht="15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ht="15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ht="15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ht="15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</row>
    <row r="164" ht="15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</row>
    <row r="165" ht="15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</row>
    <row r="166" ht="15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</row>
    <row r="167" ht="15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</row>
    <row r="168" ht="15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</row>
    <row r="169" ht="15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</row>
    <row r="170" ht="15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</row>
    <row r="171" ht="15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</row>
    <row r="172" ht="15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</row>
    <row r="173" ht="15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</row>
    <row r="174" ht="15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</row>
    <row r="175" ht="15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</row>
    <row r="176" ht="15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</row>
    <row r="177" ht="15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</row>
    <row r="178" ht="15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</row>
    <row r="179" ht="15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</row>
    <row r="180" ht="15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</row>
    <row r="181" ht="15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</row>
    <row r="182" ht="15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</row>
    <row r="183" ht="15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</row>
    <row r="184" ht="15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</row>
    <row r="185" ht="15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</row>
    <row r="186" ht="15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</row>
    <row r="187" ht="15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</row>
    <row r="188" ht="15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</row>
    <row r="189" ht="15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</row>
    <row r="190" ht="15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</row>
    <row r="191" ht="15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</row>
    <row r="192" ht="15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</row>
    <row r="193" ht="15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</row>
    <row r="194" ht="15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</row>
    <row r="195" ht="15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</row>
    <row r="196" ht="15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</row>
    <row r="197" ht="15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</row>
    <row r="198" ht="15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</row>
    <row r="199" ht="15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</row>
    <row r="200" ht="15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</row>
    <row r="201" ht="15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</row>
    <row r="202" ht="15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</row>
    <row r="203" ht="15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</row>
    <row r="204" ht="15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</row>
    <row r="205" ht="15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</row>
    <row r="206" ht="15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</row>
    <row r="207" ht="15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</row>
    <row r="208" ht="15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</row>
    <row r="209" ht="15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</row>
    <row r="210" ht="15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</row>
    <row r="211" ht="15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</row>
    <row r="212" ht="15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</row>
    <row r="213" ht="15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</row>
    <row r="214" ht="15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</row>
    <row r="215" ht="15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</row>
    <row r="216" ht="15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</row>
    <row r="217" ht="15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</row>
    <row r="218" ht="15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</row>
    <row r="219" ht="15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</row>
    <row r="220" ht="15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autoFilter ref="$A$2:$W$2"/>
  <mergeCells count="2">
    <mergeCell ref="A1:W1"/>
    <mergeCell ref="A8:W8"/>
  </mergeCells>
  <dataValidations>
    <dataValidation type="list" allowBlank="1" sqref="O3:O7 O9:O600">
      <formula1>'목록(드롭다운)'!$D$3:$D$7</formula1>
    </dataValidation>
    <dataValidation type="list" allowBlank="1" sqref="P3:P7 P9:P600">
      <formula1>'목록(드롭다운)'!$E$3:$E$6</formula1>
    </dataValidation>
    <dataValidation type="list" allowBlank="1" sqref="S3:S7 S9:S600">
      <formula1>'목록(드롭다운)'!$F$3:$F$4</formula1>
    </dataValidation>
    <dataValidation type="list" allowBlank="1" sqref="V3:V7 V9:V600">
      <formula1>'목록(드롭다운)'!$G$3:$G$7</formula1>
    </dataValidation>
    <dataValidation type="list" allowBlank="1" sqref="D3:D7 D9:D600">
      <formula1>'목록(드롭다운)'!$A$3:$A$19</formula1>
    </dataValidation>
    <dataValidation type="list" allowBlank="1" sqref="J3:J7 J9:J600">
      <formula1>'목록(드롭다운)'!$C$3:$C$10</formula1>
    </dataValidation>
    <dataValidation type="list" allowBlank="1" sqref="I3:I7 I9:I600">
      <formula1>'목록(드롭다운)'!$B$3:$B$9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5496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4" width="16.0"/>
    <col customWidth="1" min="5" max="5" width="22.0"/>
    <col customWidth="1" min="6" max="6" width="18.0"/>
    <col customWidth="1" min="7" max="7" width="16.0"/>
    <col customWidth="1" min="8" max="9" width="34.0"/>
    <col customWidth="1" min="10" max="10" width="24.0"/>
    <col customWidth="1" min="11" max="11" width="28.0"/>
    <col customWidth="1" min="12" max="12" width="14.0"/>
    <col customWidth="1" min="13" max="13" width="12.0"/>
    <col customWidth="1" min="14" max="14" width="22.0"/>
    <col customWidth="1" min="15" max="26" width="8.71"/>
  </cols>
  <sheetData>
    <row r="1" ht="25.5" customHeight="1">
      <c r="A1" s="26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37.5" customHeight="1">
      <c r="A2" s="18" t="s">
        <v>151</v>
      </c>
      <c r="B2" s="18" t="s">
        <v>152</v>
      </c>
      <c r="C2" s="18" t="s">
        <v>153</v>
      </c>
      <c r="D2" s="18" t="s">
        <v>154</v>
      </c>
      <c r="E2" s="18" t="s">
        <v>155</v>
      </c>
      <c r="F2" s="18" t="s">
        <v>156</v>
      </c>
      <c r="G2" s="18" t="s">
        <v>157</v>
      </c>
      <c r="H2" s="18" t="s">
        <v>158</v>
      </c>
      <c r="I2" s="18" t="s">
        <v>159</v>
      </c>
      <c r="J2" s="18" t="s">
        <v>160</v>
      </c>
      <c r="K2" s="18" t="s">
        <v>161</v>
      </c>
      <c r="L2" s="18" t="s">
        <v>162</v>
      </c>
      <c r="M2" s="18" t="s">
        <v>62</v>
      </c>
      <c r="N2" s="18" t="s">
        <v>64</v>
      </c>
    </row>
    <row r="3" ht="43.5" customHeight="1">
      <c r="A3" s="27" t="s">
        <v>131</v>
      </c>
      <c r="B3" s="27" t="s">
        <v>163</v>
      </c>
      <c r="C3" s="27" t="s">
        <v>120</v>
      </c>
      <c r="D3" s="27" t="s">
        <v>164</v>
      </c>
      <c r="E3" s="27" t="s">
        <v>165</v>
      </c>
      <c r="F3" s="28" t="s">
        <v>166</v>
      </c>
      <c r="G3" s="28" t="s">
        <v>167</v>
      </c>
      <c r="H3" s="27" t="s">
        <v>168</v>
      </c>
      <c r="I3" s="28" t="s">
        <v>169</v>
      </c>
      <c r="J3" s="28" t="s">
        <v>170</v>
      </c>
      <c r="K3" s="28" t="s">
        <v>171</v>
      </c>
      <c r="L3" s="28" t="s">
        <v>172</v>
      </c>
      <c r="M3" s="28" t="s">
        <v>81</v>
      </c>
      <c r="N3" s="27" t="s">
        <v>173</v>
      </c>
    </row>
    <row r="4" ht="43.5" customHeight="1">
      <c r="A4" s="27" t="s">
        <v>100</v>
      </c>
      <c r="B4" s="27" t="s">
        <v>174</v>
      </c>
      <c r="C4" s="27" t="s">
        <v>84</v>
      </c>
      <c r="D4" s="27" t="s">
        <v>175</v>
      </c>
      <c r="E4" s="27" t="s">
        <v>94</v>
      </c>
      <c r="F4" s="28" t="s">
        <v>176</v>
      </c>
      <c r="G4" s="28" t="s">
        <v>177</v>
      </c>
      <c r="H4" s="28" t="s">
        <v>178</v>
      </c>
      <c r="I4" s="28" t="s">
        <v>179</v>
      </c>
      <c r="J4" s="28" t="s">
        <v>180</v>
      </c>
      <c r="K4" s="28" t="s">
        <v>181</v>
      </c>
      <c r="L4" s="28" t="s">
        <v>182</v>
      </c>
      <c r="M4" s="28" t="s">
        <v>101</v>
      </c>
      <c r="N4" s="28" t="s">
        <v>183</v>
      </c>
    </row>
    <row r="5" ht="43.5" customHeight="1">
      <c r="A5" s="27" t="s">
        <v>117</v>
      </c>
      <c r="B5" s="27" t="s">
        <v>163</v>
      </c>
      <c r="C5" s="27" t="s">
        <v>104</v>
      </c>
      <c r="D5" s="27" t="s">
        <v>184</v>
      </c>
      <c r="E5" s="27" t="s">
        <v>112</v>
      </c>
      <c r="F5" s="28" t="s">
        <v>185</v>
      </c>
      <c r="G5" s="28" t="s">
        <v>186</v>
      </c>
      <c r="H5" s="27" t="s">
        <v>187</v>
      </c>
      <c r="I5" s="28" t="s">
        <v>188</v>
      </c>
      <c r="J5" s="28" t="s">
        <v>189</v>
      </c>
      <c r="K5" s="28" t="s">
        <v>190</v>
      </c>
      <c r="L5" s="28" t="s">
        <v>191</v>
      </c>
      <c r="M5" s="28" t="s">
        <v>118</v>
      </c>
      <c r="N5" s="28" t="s">
        <v>192</v>
      </c>
    </row>
    <row r="6" ht="43.5" customHeight="1">
      <c r="A6" s="27" t="s">
        <v>146</v>
      </c>
      <c r="B6" s="27" t="s">
        <v>163</v>
      </c>
      <c r="C6" s="27" t="s">
        <v>133</v>
      </c>
      <c r="D6" s="27" t="s">
        <v>193</v>
      </c>
      <c r="E6" s="27" t="s">
        <v>194</v>
      </c>
      <c r="F6" s="28" t="s">
        <v>185</v>
      </c>
      <c r="G6" s="28" t="s">
        <v>177</v>
      </c>
      <c r="H6" s="27" t="s">
        <v>195</v>
      </c>
      <c r="I6" s="28" t="s">
        <v>196</v>
      </c>
      <c r="J6" s="28" t="s">
        <v>197</v>
      </c>
      <c r="K6" s="28" t="s">
        <v>198</v>
      </c>
      <c r="L6" s="28" t="s">
        <v>199</v>
      </c>
      <c r="M6" s="28" t="s">
        <v>101</v>
      </c>
      <c r="N6" s="27" t="s">
        <v>200</v>
      </c>
    </row>
    <row r="7" ht="15.0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ht="15.0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ht="15.0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ht="15.0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ht="15.0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ht="15.0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ht="15.0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ht="15.0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ht="15.0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ht="15.0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ht="15.0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ht="15.0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ht="15.0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ht="15.0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ht="15.0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ht="15.0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ht="15.0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ht="15.0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ht="15.0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ht="15.0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ht="15.0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ht="15.0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ht="15.0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ht="15.0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ht="15.0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ht="15.0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ht="15.0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ht="15.0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ht="15.0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ht="15.0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ht="15.0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ht="15.0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ht="15.0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ht="15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ht="15.0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ht="15.0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ht="15.0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ht="15.0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ht="15.0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ht="15.0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ht="15.0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ht="15.0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ht="15.0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ht="15.0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ht="15.0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ht="15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ht="15.0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ht="15.0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ht="15.0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ht="15.0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ht="15.0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</row>
    <row r="58" ht="15.0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ht="15.0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</row>
    <row r="60" ht="15.0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ht="15.0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ht="15.0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ht="15.0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ht="15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ht="15.0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ht="15.0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ht="15.0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ht="15.0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ht="15.0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ht="15.0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ht="15.0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</row>
    <row r="72" ht="15.0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ht="15.0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ht="15.0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</row>
    <row r="75" ht="15.0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ht="15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ht="15.0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ht="15.0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ht="15.0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ht="15.0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ht="15.0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ht="15.0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ht="15.0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</row>
    <row r="84" ht="15.0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 ht="15.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ht="15.0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ht="15.0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ht="15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ht="15.0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ht="15.0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ht="15.0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ht="15.0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</row>
    <row r="93" ht="15.0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</row>
    <row r="94" ht="15.0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</row>
    <row r="95" ht="15.0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</row>
    <row r="96" ht="15.0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ht="15.0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ht="15.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ht="15.0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ht="15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</row>
    <row r="101" ht="15.0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</row>
    <row r="102" ht="15.0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</row>
    <row r="103" ht="15.0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</row>
    <row r="104" ht="15.0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ht="15.0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ht="15.0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ht="15.0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</row>
    <row r="108" ht="15.0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ht="15.0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ht="15.0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ht="15.0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ht="15.0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ht="15.0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ht="15.0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ht="15.0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</row>
    <row r="116" ht="15.0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ht="15.0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</row>
    <row r="118" ht="15.0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</row>
    <row r="119" ht="15.0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</row>
    <row r="120" ht="15.0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</row>
    <row r="121" ht="15.0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</row>
    <row r="122" ht="15.0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</row>
    <row r="123" ht="15.0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</row>
    <row r="124" ht="15.0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ht="15.0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 ht="15.0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</row>
    <row r="127" ht="15.0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ht="15.0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ht="15.0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ht="15.0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</row>
    <row r="131" ht="15.0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ht="15.0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</row>
    <row r="133" ht="15.0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ht="15.0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</row>
    <row r="135" ht="15.0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ht="15.0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ht="15.0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ht="15.0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ht="15.0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ht="15.0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ht="15.0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ht="15.0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ht="15.0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</row>
    <row r="144" ht="15.0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</row>
    <row r="145" ht="15.0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</row>
    <row r="146" ht="15.0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ht="15.0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</row>
    <row r="148" ht="15.0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ht="15.0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ht="15.0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ht="15.0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</row>
    <row r="152" ht="15.0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</row>
    <row r="153" ht="15.0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</row>
    <row r="154" ht="15.0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</row>
    <row r="155" ht="15.0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</row>
    <row r="156" ht="15.0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ht="15.0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ht="15.0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ht="15.0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ht="15.0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ht="15.0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ht="15.0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ht="15.0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ht="15.0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ht="15.0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ht="15.0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ht="15.0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ht="15.0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ht="15.0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</row>
    <row r="170" ht="15.0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</row>
    <row r="171" ht="15.0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</row>
    <row r="172" ht="15.0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ht="15.0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ht="15.0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ht="15.0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ht="15.0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ht="15.0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ht="15.0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ht="15.0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ht="15.0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</row>
    <row r="181" ht="15.0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</row>
    <row r="182" ht="15.0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ht="15.0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ht="15.0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</row>
    <row r="185" ht="15.0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 ht="15.0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ht="15.0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ht="15.0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ht="15.0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ht="15.0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ht="15.0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ht="15.0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</row>
    <row r="193" ht="15.0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</row>
    <row r="194" ht="15.0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</row>
    <row r="195" ht="15.0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</row>
    <row r="196" ht="15.0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</row>
    <row r="197" ht="15.0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ht="15.0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ht="15.0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ht="15.0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ht="15.0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</row>
    <row r="202" ht="15.0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</row>
    <row r="203" ht="15.0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</row>
    <row r="204" ht="15.0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</row>
    <row r="205" ht="15.0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</row>
    <row r="206" ht="15.0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</row>
    <row r="207" ht="15.0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ht="15.0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ht="15.0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ht="15.0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</row>
    <row r="211" ht="15.0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</row>
    <row r="212" ht="15.0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</row>
    <row r="213" ht="15.0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</row>
    <row r="214" ht="15.0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</row>
    <row r="215" ht="15.0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</row>
    <row r="216" ht="15.0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ht="15.0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ht="15.0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ht="15.0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</row>
    <row r="220" ht="15.0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</sheetData>
  <autoFilter ref="$A$2:$N$2"/>
  <mergeCells count="1">
    <mergeCell ref="A1:N1"/>
  </mergeCells>
  <dataValidations>
    <dataValidation type="list" allowBlank="1" sqref="F3:F300">
      <formula1>'목록(드롭다운)'!$I$3:$I$9</formula1>
    </dataValidation>
    <dataValidation type="list" allowBlank="1" sqref="L3:L300">
      <formula1>'목록(드롭다운)'!$K$3:$K$7</formula1>
    </dataValidation>
    <dataValidation type="list" allowBlank="1" sqref="D3:D300">
      <formula1>'목록(드롭다운)'!$H$3:$H$8</formula1>
    </dataValidation>
    <dataValidation type="list" allowBlank="1" sqref="G3:G300">
      <formula1>'목록(드롭다운)'!$J$3:$J$7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808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1" width="26.0"/>
    <col customWidth="1" min="12" max="26" width="8.71"/>
  </cols>
  <sheetData>
    <row r="1" ht="15.0" customHeight="1">
      <c r="A1" s="13" t="s">
        <v>201</v>
      </c>
      <c r="B1" s="14"/>
      <c r="C1" s="14"/>
      <c r="D1" s="14"/>
      <c r="E1" s="14"/>
      <c r="F1" s="14"/>
      <c r="G1" s="14"/>
      <c r="H1" s="14"/>
      <c r="I1" s="14"/>
      <c r="J1" s="14"/>
      <c r="K1" s="6"/>
    </row>
    <row r="2" ht="15.0" customHeight="1">
      <c r="A2" s="29" t="s">
        <v>202</v>
      </c>
      <c r="B2" s="30" t="s">
        <v>50</v>
      </c>
      <c r="C2" s="29" t="s">
        <v>51</v>
      </c>
      <c r="D2" s="29" t="s">
        <v>56</v>
      </c>
      <c r="E2" s="29" t="s">
        <v>57</v>
      </c>
      <c r="F2" s="30" t="s">
        <v>203</v>
      </c>
      <c r="G2" s="29" t="s">
        <v>63</v>
      </c>
      <c r="H2" s="29" t="s">
        <v>154</v>
      </c>
      <c r="I2" s="29" t="s">
        <v>156</v>
      </c>
      <c r="J2" s="29" t="s">
        <v>157</v>
      </c>
      <c r="K2" s="29" t="s">
        <v>162</v>
      </c>
    </row>
    <row r="3" ht="15.0" customHeight="1">
      <c r="A3" s="9" t="s">
        <v>4</v>
      </c>
      <c r="B3" s="9" t="s">
        <v>72</v>
      </c>
      <c r="C3" s="9" t="s">
        <v>73</v>
      </c>
      <c r="D3" s="9" t="s">
        <v>24</v>
      </c>
      <c r="E3" s="12" t="s">
        <v>5</v>
      </c>
      <c r="F3" s="9" t="s">
        <v>99</v>
      </c>
      <c r="G3" s="12" t="s">
        <v>204</v>
      </c>
      <c r="H3" s="9" t="s">
        <v>205</v>
      </c>
      <c r="I3" s="12" t="s">
        <v>185</v>
      </c>
      <c r="J3" s="12" t="s">
        <v>167</v>
      </c>
      <c r="K3" s="12" t="s">
        <v>199</v>
      </c>
    </row>
    <row r="4" ht="15.0" customHeight="1">
      <c r="A4" s="9" t="s">
        <v>6</v>
      </c>
      <c r="B4" s="9" t="s">
        <v>91</v>
      </c>
      <c r="C4" s="9" t="s">
        <v>206</v>
      </c>
      <c r="D4" s="9" t="s">
        <v>26</v>
      </c>
      <c r="E4" s="12" t="s">
        <v>7</v>
      </c>
      <c r="F4" s="9" t="s">
        <v>80</v>
      </c>
      <c r="G4" s="12" t="s">
        <v>147</v>
      </c>
      <c r="H4" s="9" t="s">
        <v>207</v>
      </c>
      <c r="I4" s="12" t="s">
        <v>208</v>
      </c>
      <c r="J4" s="12" t="s">
        <v>177</v>
      </c>
      <c r="K4" s="12" t="s">
        <v>191</v>
      </c>
    </row>
    <row r="5" ht="15.0" customHeight="1">
      <c r="A5" s="9" t="s">
        <v>8</v>
      </c>
      <c r="B5" s="9" t="s">
        <v>209</v>
      </c>
      <c r="C5" s="9" t="s">
        <v>140</v>
      </c>
      <c r="D5" s="9" t="s">
        <v>28</v>
      </c>
      <c r="E5" s="12" t="s">
        <v>9</v>
      </c>
      <c r="F5" s="4"/>
      <c r="G5" s="12" t="s">
        <v>82</v>
      </c>
      <c r="H5" s="9" t="s">
        <v>210</v>
      </c>
      <c r="I5" s="12" t="s">
        <v>176</v>
      </c>
      <c r="J5" s="12" t="s">
        <v>211</v>
      </c>
      <c r="K5" s="12" t="s">
        <v>172</v>
      </c>
    </row>
    <row r="6" ht="15.0" customHeight="1">
      <c r="A6" s="9" t="s">
        <v>10</v>
      </c>
      <c r="B6" s="9" t="s">
        <v>212</v>
      </c>
      <c r="C6" s="9" t="s">
        <v>213</v>
      </c>
      <c r="D6" s="9" t="s">
        <v>30</v>
      </c>
      <c r="E6" s="12" t="s">
        <v>11</v>
      </c>
      <c r="F6" s="4"/>
      <c r="G6" s="12" t="s">
        <v>102</v>
      </c>
      <c r="H6" s="9" t="s">
        <v>214</v>
      </c>
      <c r="I6" s="12" t="s">
        <v>166</v>
      </c>
      <c r="J6" s="12" t="s">
        <v>186</v>
      </c>
      <c r="K6" s="12" t="s">
        <v>182</v>
      </c>
    </row>
    <row r="7" ht="15.0" customHeight="1">
      <c r="A7" s="9" t="s">
        <v>12</v>
      </c>
      <c r="B7" s="9" t="s">
        <v>215</v>
      </c>
      <c r="C7" s="9" t="s">
        <v>216</v>
      </c>
      <c r="D7" s="9" t="s">
        <v>32</v>
      </c>
      <c r="E7" s="4"/>
      <c r="F7" s="4"/>
      <c r="G7" s="12" t="s">
        <v>217</v>
      </c>
      <c r="H7" s="9" t="s">
        <v>218</v>
      </c>
      <c r="I7" s="12" t="s">
        <v>219</v>
      </c>
      <c r="J7" s="12" t="s">
        <v>220</v>
      </c>
      <c r="K7" s="12" t="s">
        <v>221</v>
      </c>
    </row>
    <row r="8" ht="15.0" customHeight="1">
      <c r="A8" s="12" t="s">
        <v>14</v>
      </c>
      <c r="B8" s="9" t="s">
        <v>222</v>
      </c>
      <c r="C8" s="9" t="s">
        <v>223</v>
      </c>
      <c r="D8" s="4"/>
      <c r="E8" s="4"/>
      <c r="F8" s="4"/>
      <c r="G8" s="4"/>
      <c r="H8" s="12" t="s">
        <v>224</v>
      </c>
      <c r="I8" s="12" t="s">
        <v>225</v>
      </c>
      <c r="J8" s="4"/>
      <c r="K8" s="4"/>
    </row>
    <row r="9" ht="15.0" customHeight="1">
      <c r="A9" s="12" t="s">
        <v>16</v>
      </c>
      <c r="B9" s="9" t="s">
        <v>226</v>
      </c>
      <c r="C9" s="9" t="s">
        <v>110</v>
      </c>
      <c r="D9" s="4"/>
      <c r="E9" s="4"/>
      <c r="F9" s="4"/>
      <c r="G9" s="4"/>
      <c r="H9" s="4"/>
      <c r="I9" s="12" t="s">
        <v>221</v>
      </c>
      <c r="J9" s="4"/>
      <c r="K9" s="4"/>
    </row>
    <row r="10" ht="26.25" customHeight="1">
      <c r="A10" s="12" t="s">
        <v>18</v>
      </c>
      <c r="B10" s="4"/>
      <c r="C10" s="12" t="s">
        <v>34</v>
      </c>
      <c r="D10" s="4"/>
      <c r="E10" s="4"/>
      <c r="F10" s="4"/>
      <c r="G10" s="4"/>
      <c r="H10" s="4"/>
      <c r="I10" s="4"/>
      <c r="J10" s="4"/>
      <c r="K10" s="4"/>
    </row>
    <row r="11" ht="15.0" customHeight="1">
      <c r="A11" s="12" t="s">
        <v>20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ht="15.0" customHeight="1">
      <c r="A12" s="12" t="s">
        <v>21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ht="15.0" customHeight="1">
      <c r="A13" s="12" t="s">
        <v>23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ht="15.0" customHeight="1">
      <c r="A14" s="12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ht="15.0" customHeight="1">
      <c r="A15" s="9" t="s">
        <v>227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ht="15.0" customHeight="1">
      <c r="A16" s="9" t="s">
        <v>29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7" ht="15.0" customHeight="1">
      <c r="A17" s="12" t="s">
        <v>31</v>
      </c>
      <c r="B17" s="4"/>
      <c r="C17" s="4"/>
      <c r="D17" s="4"/>
      <c r="E17" s="4"/>
      <c r="F17" s="4"/>
      <c r="G17" s="4"/>
      <c r="H17" s="4"/>
      <c r="I17" s="4"/>
      <c r="J17" s="4"/>
      <c r="K17" s="4"/>
    </row>
    <row r="18" ht="15.0" customHeight="1">
      <c r="A18" s="12" t="s">
        <v>33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ht="15.0" customHeight="1">
      <c r="A19" s="12" t="s">
        <v>34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</row>
  </sheetData>
  <mergeCells count="1">
    <mergeCell ref="A1:K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2026-05-29T02:59:41Z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